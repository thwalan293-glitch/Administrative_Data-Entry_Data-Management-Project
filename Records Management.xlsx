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Clients" sheetId="1" r:id="rId1"/>
    <sheet name="Invoices" sheetId="2" r:id="rId2"/>
    <sheet name="Appointments" sheetId="3" r:id="rId3"/>
    <sheet name="Employees" sheetId="4" r:id="rId4"/>
    <sheet name="Error_Log" sheetId="5" r:id="rId5"/>
    <sheet name="Archive_Lo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<sst xmlns="http://schemas.openxmlformats.org/spreadsheetml/2006/main" count="174" uniqueCount="134">
  <si>
    <t>Client ID</t>
  </si>
  <si>
    <t>Full Name</t>
  </si>
  <si>
    <t>Phone</t>
  </si>
  <si>
    <t>Email</t>
  </si>
  <si>
    <t>Address</t>
  </si>
  <si>
    <t>Service Requested</t>
  </si>
  <si>
    <t>Registration Date</t>
  </si>
  <si>
    <t>Status</t>
  </si>
  <si>
    <t>C001</t>
  </si>
  <si>
    <t>John Smith</t>
  </si>
  <si>
    <t>Active</t>
  </si>
  <si>
    <t>C002</t>
  </si>
  <si>
    <t>Michael Mayers</t>
  </si>
  <si>
    <t>C003</t>
  </si>
  <si>
    <t>Elizabeth Thanyer</t>
  </si>
  <si>
    <t>C004</t>
  </si>
  <si>
    <t>Luyanda Zuma</t>
  </si>
  <si>
    <t>C005</t>
  </si>
  <si>
    <t>Nosiswa Ncele</t>
  </si>
  <si>
    <t>C006</t>
  </si>
  <si>
    <t>Manqoba Ndlovu</t>
  </si>
  <si>
    <t>C007</t>
  </si>
  <si>
    <t>Andrea Speelman</t>
  </si>
  <si>
    <t>C008</t>
  </si>
  <si>
    <t>Andrew Noah</t>
  </si>
  <si>
    <t>C009</t>
  </si>
  <si>
    <t>Peter Peniel</t>
  </si>
  <si>
    <t>C010</t>
  </si>
  <si>
    <t>Linda Evere</t>
  </si>
  <si>
    <t>C011</t>
  </si>
  <si>
    <t>Coana Mende</t>
  </si>
  <si>
    <t>Inactive</t>
  </si>
  <si>
    <t>C012</t>
  </si>
  <si>
    <t>Bobby Carter</t>
  </si>
  <si>
    <t>C013</t>
  </si>
  <si>
    <t>Jude Beter</t>
  </si>
  <si>
    <t>C014</t>
  </si>
  <si>
    <t>Cecile Kingston</t>
  </si>
  <si>
    <t>C015</t>
  </si>
  <si>
    <t>Vusi Sibiya</t>
  </si>
  <si>
    <t>C016</t>
  </si>
  <si>
    <t>Brandy Harris</t>
  </si>
  <si>
    <t>C017</t>
  </si>
  <si>
    <t>Diamond Black</t>
  </si>
  <si>
    <t>C018</t>
  </si>
  <si>
    <t>Christopher Chester</t>
  </si>
  <si>
    <t>C019</t>
  </si>
  <si>
    <t>Chan Jiang</t>
  </si>
  <si>
    <t>C020</t>
  </si>
  <si>
    <t>Karishma Naidoo</t>
  </si>
  <si>
    <t>C021</t>
  </si>
  <si>
    <t>Bhavaan Singh</t>
  </si>
  <si>
    <t>C022</t>
  </si>
  <si>
    <t>Chante Mill</t>
  </si>
  <si>
    <t>C023</t>
  </si>
  <si>
    <t>Akiba Ramuthaar</t>
  </si>
  <si>
    <t>C024</t>
  </si>
  <si>
    <t>Akona Dube</t>
  </si>
  <si>
    <t>C025</t>
  </si>
  <si>
    <t>Lungelo Cele</t>
  </si>
  <si>
    <t>C026</t>
  </si>
  <si>
    <t>Sakhile Khumalo</t>
  </si>
  <si>
    <t>C027</t>
  </si>
  <si>
    <t>Kwanele Mkhwanazi</t>
  </si>
  <si>
    <t>C028</t>
  </si>
  <si>
    <t>Harry Kane</t>
  </si>
  <si>
    <t>C029</t>
  </si>
  <si>
    <t>Simphiwe Mjiyako</t>
  </si>
  <si>
    <t>C030</t>
  </si>
  <si>
    <t>Sandy Cain</t>
  </si>
  <si>
    <t>Invoices ID</t>
  </si>
  <si>
    <t>Client Name</t>
  </si>
  <si>
    <t>Amount</t>
  </si>
  <si>
    <t>Invoice Date</t>
  </si>
  <si>
    <t>Payment Status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</si>
  <si>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</si>
  <si>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</si>
  <si>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</si>
  <si>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</si>
  <si>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</si>
  <si>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</si>
  <si>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</si>
  <si>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</si>
  <si>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</si>
  <si>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</si>
  <si>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</si>
  <si>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</si>
  <si>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</si>
  <si>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</si>
  <si>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</si>
  <si>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</si>
  <si>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</si>
  <si>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</si>
  <si>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</si>
  <si>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</si>
  <si>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</si>
  <si>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</si>
  <si>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</si>
  <si>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</si>
  <si>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</si>
  <si>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</si>
  <si>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</si>
  <si>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</si>
  <si>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</si>
  <si>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</si>
  <si>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</si>
  <si>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</si>
  <si>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</si>
  <si>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</si>
  <si>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</si>
  <si>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</si>
  <si>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</si>
  <si>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</si>
  <si>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</si>
  <si>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</si>
  <si>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Appointment ID</t>
  </si>
  <si>
    <t>Date</t>
  </si>
  <si>
    <t>Time</t>
  </si>
  <si>
    <t>Staff Member</t>
  </si>
  <si>
    <t>Employee ID</t>
  </si>
  <si>
    <t>Name</t>
  </si>
  <si>
    <t>Department</t>
  </si>
  <si>
    <t>Leave Days Remaining</t>
  </si>
  <si>
    <t>On Leave</t>
  </si>
  <si>
    <t>Terminated</t>
  </si>
  <si>
    <t>Error ID</t>
  </si>
  <si>
    <t>Problem</t>
  </si>
  <si>
    <t>Record Affected</t>
  </si>
  <si>
    <t>Correction Made</t>
  </si>
  <si>
    <t>Archive ID</t>
  </si>
  <si>
    <t>Record Type</t>
  </si>
  <si>
    <t>Record ID</t>
  </si>
  <si>
    <t>Archive Date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</si>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</sst>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;@"/>
    <numFmt numFmtId="179" formatCode="h:mm\ AM/PM"/>
    <numFmt numFmtId="180" formatCode="0.00_);[Red]\(0.00\)"/>
    <numFmt numFmtId="181" formatCode="dd/mm/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B5" sqref="B5"/>
    </sheetView>
  </sheetViews>
  <sheetFormatPr defaultColWidth="9.14285714285714" defaultRowHeight="15" outlineLevelCol="7"/>
  <cols>
    <col min="2" max="2" width="20.7142857142857" customWidth="1"/>
    <col min="3" max="3" width="11.7142857142857" customWidth="1"/>
    <col min="4" max="4" width="38.7142857142857" customWidth="1"/>
    <col min="5" max="5" width="35.2857142857143" customWidth="1"/>
    <col min="6" max="6" width="21.8571428571429" customWidth="1"/>
    <col min="7" max="7" width="17.7142857142857" customWidth="1"/>
  </cols>
  <sheetData>
    <row r="1" s="5" customForma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t="s">
        <v>8</v>
      </c>
      <c r="B2" t="s">
        <v>9</v>
      </c>
      <c r="C2" s="7" t="str">
        <f ca="1">"0"&amp;RANDBETWEEN(60,89)&amp;RANDBETWEEN(1000000,9999999)</f>
        <v>0818383842</v>
      </c>
      <c r="D2" t="str">
        <f ca="1">LOWER(B2&amp;"."&amp;RANDBETWEEN(1,999)&amp;"@gmail.com")</f>
        <v>john smith.812@gmail.com</v>
      </c>
      <c r="E2" t="str" cm="1">
        <f ca="1" t="array" ref="E2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724 Hillcrest Rd,Pretoria</v>
      </c>
      <c r="F2" t="str" cm="1">
        <f ca="1" t="array" ref="F2">INDEX({"Consulting","Training","IT Support","Data Entry","Admin Support","Document Processing","Customer Support"},RANDBETWEEN(1,7))</f>
        <v>Data Entry</v>
      </c>
      <c r="G2" s="8">
        <f ca="1">DATE(2025,1,1)+RANDBETWEEN(0,500)</f>
        <v>46053</v>
      </c>
      <c r="H2" t="s">
        <v>10</v>
      </c>
    </row>
    <row r="3" spans="1:8">
      <c r="A3" t="s">
        <v>11</v>
      </c>
      <c r="B3" t="s">
        <v>12</v>
      </c>
      <c r="C3" t="str">
        <f ca="1">"0"&amp;RANDBETWEEN(60,89)&amp;RANDBETWEEN(1000000,9999999)</f>
        <v>0629937942</v>
      </c>
      <c r="D3" t="str">
        <f ca="1">LOWER(B3&amp;"."&amp;RANDBETWEEN(1,999)&amp;"@gmail.com")</f>
        <v>michael mayers.215@gmail.com</v>
      </c>
      <c r="E3" t="str" cm="1">
        <f ca="1" t="array" ref="E3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87 Oak Ave,Cape Town</v>
      </c>
      <c r="F3" t="str" cm="1">
        <f ca="1" t="array" ref="F3">INDEX({"Consulting","Training","IT Support","Data Entry","Admin Support","Document Processing","Customer Support"},RANDBETWEEN(1,7))</f>
        <v>Customer Support</v>
      </c>
      <c r="G3" s="8">
        <f ca="1" t="shared" ref="G3:G12" si="0">DATE(2025,1,1)+RANDBETWEEN(0,500)</f>
        <v>45730</v>
      </c>
      <c r="H3" t="s">
        <v>10</v>
      </c>
    </row>
    <row r="4" spans="1:8">
      <c r="A4" t="s">
        <v>13</v>
      </c>
      <c r="B4" t="s">
        <v>14</v>
      </c>
      <c r="C4" t="str">
        <f ca="1">"0"&amp;RANDBETWEEN(60,89)&amp;RANDBETWEEN(1000000,9999999)</f>
        <v>0878873863</v>
      </c>
      <c r="D4" t="str">
        <f ca="1" t="shared" ref="D4:D31" si="1">LOWER(B4&amp;"."&amp;RANDBETWEEN(1,999)&amp;"@gmail.com")</f>
        <v>elizabeth thanyer.480@gmail.com</v>
      </c>
      <c r="E4" t="str" cm="1">
        <f ca="1" t="array" ref="E4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992 Oak Ave,Cape Town</v>
      </c>
      <c r="F4" t="str" cm="1">
        <f ca="1" t="array" ref="F4">INDEX({"Consulting","Training","IT Support","Data Entry","Admin Support","Document Processing","Customer Support"},RANDBETWEEN(1,7))</f>
        <v>Training</v>
      </c>
      <c r="G4" s="8">
        <f ca="1" t="shared" si="0"/>
        <v>46146</v>
      </c>
      <c r="H4" t="s">
        <v>10</v>
      </c>
    </row>
    <row r="5" spans="1:8">
      <c r="A5" t="s">
        <v>15</v>
      </c>
      <c r="B5" t="s">
        <v>16</v>
      </c>
      <c r="C5" t="str">
        <f ca="1" t="shared" ref="C4:C13" si="2">"0"&amp;RANDBETWEEN(60,89)&amp;RANDBETWEEN(1000000,9999999)</f>
        <v>0683721270</v>
      </c>
      <c r="D5" t="str">
        <f ca="1" t="shared" si="1"/>
        <v>luyanda zuma.692@gmail.com</v>
      </c>
      <c r="E5" t="str" cm="1">
        <f ca="1" t="array" ref="E5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301 Long St,Cape Town</v>
      </c>
      <c r="F5" t="str" cm="1">
        <f ca="1" t="array" ref="F5">INDEX({"Consulting","Training","IT Support","Data Entry","Admin Support","Document Processing","Customer Support"},RANDBETWEEN(1,7))</f>
        <v>Customer Support</v>
      </c>
      <c r="G5" s="8">
        <f ca="1" t="shared" si="0"/>
        <v>45660</v>
      </c>
      <c r="H5" t="s">
        <v>10</v>
      </c>
    </row>
    <row r="6" spans="1:8">
      <c r="A6" t="s">
        <v>17</v>
      </c>
      <c r="B6" t="s">
        <v>18</v>
      </c>
      <c r="C6" t="str">
        <f ca="1" t="shared" si="2"/>
        <v>0616670029</v>
      </c>
      <c r="D6" t="str">
        <f ca="1" t="shared" si="1"/>
        <v>nosiswa ncele.979@gmail.com</v>
      </c>
      <c r="E6" t="str" cm="1">
        <f ca="1" t="array" ref="E6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102 Stations Rd,Pretoria</v>
      </c>
      <c r="F6" t="str" cm="1">
        <f ca="1" t="array" ref="F6">INDEX({"Consulting","Training","IT Support","Data Entry","Admin Support","Document Processing","Customer Support"},RANDBETWEEN(1,7))</f>
        <v>Admin Support</v>
      </c>
      <c r="G6" s="8">
        <f ca="1" t="shared" si="0"/>
        <v>46142</v>
      </c>
      <c r="H6" t="s">
        <v>10</v>
      </c>
    </row>
    <row r="7" spans="1:8">
      <c r="A7" t="s">
        <v>19</v>
      </c>
      <c r="B7" t="s">
        <v>20</v>
      </c>
      <c r="C7" t="str">
        <f ca="1" t="shared" si="2"/>
        <v>0604954855</v>
      </c>
      <c r="D7" t="str">
        <f ca="1" t="shared" si="1"/>
        <v>manqoba ndlovu.298@gmail.com</v>
      </c>
      <c r="E7" t="str" cm="1">
        <f ca="1" t="array" ref="E7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880 Church St,Johannesburg</v>
      </c>
      <c r="F7" t="str" cm="1">
        <f ca="1" t="array" ref="F7">INDEX({"Consulting","Training","IT Support","Data Entry","Admin Support","Document Processing","Customer Support"},RANDBETWEEN(1,7))</f>
        <v>IT Support</v>
      </c>
      <c r="G7" s="8">
        <f ca="1" t="shared" si="0"/>
        <v>45876</v>
      </c>
      <c r="H7" t="s">
        <v>10</v>
      </c>
    </row>
    <row r="8" spans="1:8">
      <c r="A8" t="s">
        <v>21</v>
      </c>
      <c r="B8" t="s">
        <v>22</v>
      </c>
      <c r="C8" t="str">
        <f ca="1" t="shared" si="2"/>
        <v>0712060020</v>
      </c>
      <c r="D8" t="str">
        <f ca="1" t="shared" si="1"/>
        <v>andrea speelman.799@gmail.com</v>
      </c>
      <c r="E8" t="str" cm="1">
        <f ca="1" t="array" ref="E8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122 Hillcrest Rd,Johannesburg</v>
      </c>
      <c r="F8" t="str" cm="1">
        <f ca="1" t="array" ref="F8">INDEX({"Consulting","Training","IT Support","Data Entry","Admin Support","Document Processing","Customer Support"},RANDBETWEEN(1,7))</f>
        <v>Admin Support</v>
      </c>
      <c r="G8" s="8">
        <f ca="1" t="shared" si="0"/>
        <v>45857</v>
      </c>
      <c r="H8" t="s">
        <v>10</v>
      </c>
    </row>
    <row r="9" spans="1:8">
      <c r="A9" t="s">
        <v>23</v>
      </c>
      <c r="B9" t="s">
        <v>24</v>
      </c>
      <c r="C9" t="str">
        <f ca="1" t="shared" si="2"/>
        <v>0883064254</v>
      </c>
      <c r="D9" t="str">
        <f ca="1" t="shared" si="1"/>
        <v>andrew noah.163@gmail.com</v>
      </c>
      <c r="E9" t="str" cm="1">
        <f ca="1" t="array" ref="E9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674 Oak Ave,Cape Town</v>
      </c>
      <c r="F9" t="str" cm="1">
        <f ca="1" t="array" ref="F9">INDEX({"Consulting","Training","IT Support","Data Entry","Admin Support","Document Processing","Customer Support"},RANDBETWEEN(1,7))</f>
        <v>IT Support</v>
      </c>
      <c r="G9" s="8">
        <f ca="1" t="shared" si="0"/>
        <v>46050</v>
      </c>
      <c r="H9" t="s">
        <v>10</v>
      </c>
    </row>
    <row r="10" spans="1:8">
      <c r="A10" t="s">
        <v>25</v>
      </c>
      <c r="B10" t="s">
        <v>26</v>
      </c>
      <c r="C10" t="str">
        <f ca="1" t="shared" si="2"/>
        <v>0801411768</v>
      </c>
      <c r="D10" t="str">
        <f ca="1" t="shared" si="1"/>
        <v>peter peniel.701@gmail.com</v>
      </c>
      <c r="E10" t="str" cm="1">
        <f ca="1" t="array" ref="E10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409 Long St,Cape Town</v>
      </c>
      <c r="F10" t="str" cm="1">
        <f ca="1" t="array" ref="F10">INDEX({"Consulting","Training","IT Support","Data Entry","Admin Support","Document Processing","Customer Support"},RANDBETWEEN(1,7))</f>
        <v>Customer Support</v>
      </c>
      <c r="G10" s="8">
        <f ca="1" t="shared" si="0"/>
        <v>45691</v>
      </c>
      <c r="H10" t="s">
        <v>10</v>
      </c>
    </row>
    <row r="11" spans="1:8">
      <c r="A11" t="s">
        <v>27</v>
      </c>
      <c r="B11" t="s">
        <v>28</v>
      </c>
      <c r="C11" t="str">
        <f ca="1" t="shared" si="2"/>
        <v>0632459236</v>
      </c>
      <c r="D11" t="str">
        <f ca="1" t="shared" si="1"/>
        <v>linda evere.593@gmail.com</v>
      </c>
      <c r="E11" t="str" cm="1">
        <f ca="1" t="array" ref="E11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355 Main St,Durban</v>
      </c>
      <c r="F11" t="str" cm="1">
        <f ca="1" t="array" ref="F11">INDEX({"Consulting","Training","IT Support","Data Entry","Admin Support","Document Processing","Customer Support"},RANDBETWEEN(1,7))</f>
        <v>Training</v>
      </c>
      <c r="G11" s="8">
        <f ca="1" t="shared" si="0"/>
        <v>45692</v>
      </c>
      <c r="H11" t="s">
        <v>10</v>
      </c>
    </row>
    <row r="12" spans="1:8">
      <c r="A12" t="s">
        <v>29</v>
      </c>
      <c r="B12" t="s">
        <v>30</v>
      </c>
      <c r="C12" t="str">
        <f ca="1" t="shared" si="2"/>
        <v>0601259249</v>
      </c>
      <c r="D12" t="str">
        <f ca="1" t="shared" si="1"/>
        <v>coana mende.579@gmail.com</v>
      </c>
      <c r="E12" t="str" cm="1">
        <f ca="1" t="array" ref="E12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83 Main St,Durban</v>
      </c>
      <c r="F12" t="str" cm="1">
        <f ca="1" t="array" ref="F12">INDEX({"Consulting","Training","IT Support","Data Entry","Admin Support","Document Processing","Customer Support"},RANDBETWEEN(1,7))</f>
        <v>Training</v>
      </c>
      <c r="G12" s="8">
        <f ca="1" t="shared" si="0"/>
        <v>45739</v>
      </c>
      <c r="H12" t="s">
        <v>31</v>
      </c>
    </row>
    <row r="13" spans="1:8">
      <c r="A13" t="s">
        <v>32</v>
      </c>
      <c r="B13" t="s">
        <v>33</v>
      </c>
      <c r="C13" t="str">
        <f ca="1" t="shared" si="2"/>
        <v>0842880014</v>
      </c>
      <c r="D13" t="str">
        <f ca="1" t="shared" si="1"/>
        <v>bobby carter.774@gmail.com</v>
      </c>
      <c r="E13" t="str" cm="1">
        <f ca="1" t="array" ref="E13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419 Main St,Durban</v>
      </c>
      <c r="F13" t="str" cm="1">
        <f ca="1" t="array" ref="F13">INDEX({"Consulting","Training","IT Support","Data Entry","Admin Support","Document Processing","Customer Support"},RANDBETWEEN(1,7))</f>
        <v>IT Support</v>
      </c>
      <c r="G13" s="8">
        <f ca="1" t="shared" ref="G13:G22" si="3">DATE(2025,1,1)+RANDBETWEEN(0,500)</f>
        <v>45694</v>
      </c>
      <c r="H13" t="s">
        <v>31</v>
      </c>
    </row>
    <row r="14" spans="1:8">
      <c r="A14" t="s">
        <v>34</v>
      </c>
      <c r="B14" t="s">
        <v>35</v>
      </c>
      <c r="C14" t="str">
        <f ca="1" t="shared" ref="C14:C23" si="4">"0"&amp;RANDBETWEEN(60,89)&amp;RANDBETWEEN(1000000,9999999)</f>
        <v>0645842605</v>
      </c>
      <c r="D14" t="str">
        <f ca="1" t="shared" si="1"/>
        <v>jude beter.935@gmail.com</v>
      </c>
      <c r="E14" t="str" cm="1">
        <f ca="1" t="array" ref="E14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603 Market Rd,Pretoria</v>
      </c>
      <c r="F14" t="str" cm="1">
        <f ca="1" t="array" ref="F14">INDEX({"Consulting","Training","IT Support","Data Entry","Admin Support","Document Processing","Customer Support"},RANDBETWEEN(1,7))</f>
        <v>IT Support</v>
      </c>
      <c r="G14" s="8">
        <f ca="1" t="shared" si="3"/>
        <v>46028</v>
      </c>
      <c r="H14" t="s">
        <v>31</v>
      </c>
    </row>
    <row r="15" spans="1:8">
      <c r="A15" t="s">
        <v>36</v>
      </c>
      <c r="B15" t="s">
        <v>37</v>
      </c>
      <c r="C15" t="str">
        <f ca="1" t="shared" si="4"/>
        <v>0703259062</v>
      </c>
      <c r="D15" t="str">
        <f ca="1" t="shared" si="1"/>
        <v>cecile kingston.211@gmail.com</v>
      </c>
      <c r="E15" t="str" cm="1">
        <f ca="1" t="array" ref="E15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75 Stations Rd,Pretoria</v>
      </c>
      <c r="F15" t="str" cm="1">
        <f ca="1" t="array" ref="F15">INDEX({"Consulting","Training","IT Support","Data Entry","Admin Support","Document Processing","Customer Support"},RANDBETWEEN(1,7))</f>
        <v>Data Entry</v>
      </c>
      <c r="G15" s="8">
        <f ca="1" t="shared" si="3"/>
        <v>45659</v>
      </c>
      <c r="H15" t="s">
        <v>10</v>
      </c>
    </row>
    <row r="16" spans="1:8">
      <c r="A16" t="s">
        <v>38</v>
      </c>
      <c r="B16" t="s">
        <v>39</v>
      </c>
      <c r="C16" t="str">
        <f ca="1" t="shared" si="4"/>
        <v>0649748870</v>
      </c>
      <c r="D16" t="str">
        <f ca="1" t="shared" si="1"/>
        <v>vusi sibiya.75@gmail.com</v>
      </c>
      <c r="E16" t="str" cm="1">
        <f ca="1" t="array" ref="E16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812 Nelson Mandela Rd,Johannesburg</v>
      </c>
      <c r="F16" t="str" cm="1">
        <f ca="1" t="array" ref="F16">INDEX({"Consulting","Training","IT Support","Data Entry","Admin Support","Document Processing","Customer Support"},RANDBETWEEN(1,7))</f>
        <v>Document Processing</v>
      </c>
      <c r="G16" s="8">
        <f ca="1" t="shared" si="3"/>
        <v>46137</v>
      </c>
      <c r="H16" t="s">
        <v>10</v>
      </c>
    </row>
    <row r="17" spans="1:8">
      <c r="A17" t="s">
        <v>40</v>
      </c>
      <c r="B17" t="s">
        <v>41</v>
      </c>
      <c r="C17" t="str">
        <f ca="1" t="shared" si="4"/>
        <v>0862711742</v>
      </c>
      <c r="D17" t="str">
        <f ca="1" t="shared" si="1"/>
        <v>brandy harris.485@gmail.com</v>
      </c>
      <c r="E17" t="str" cm="1">
        <f ca="1" t="array" ref="E17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401 Main St,Midrand</v>
      </c>
      <c r="F17" t="str" cm="1">
        <f ca="1" t="array" ref="F17">INDEX({"Consulting","Training","IT Support","Data Entry","Admin Support","Document Processing","Customer Support"},RANDBETWEEN(1,7))</f>
        <v>Training</v>
      </c>
      <c r="G17" s="8">
        <f ca="1" t="shared" si="3"/>
        <v>46010</v>
      </c>
      <c r="H17" t="s">
        <v>10</v>
      </c>
    </row>
    <row r="18" spans="1:8">
      <c r="A18" t="s">
        <v>42</v>
      </c>
      <c r="B18" t="s">
        <v>43</v>
      </c>
      <c r="C18" t="str">
        <f ca="1" t="shared" si="4"/>
        <v>0605856452</v>
      </c>
      <c r="D18" t="str">
        <f ca="1" t="shared" si="1"/>
        <v>diamond black.449@gmail.com</v>
      </c>
      <c r="E18" t="str" cm="1">
        <f ca="1" t="array" ref="E18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870 Oak Ave,Durban</v>
      </c>
      <c r="F18" t="str" cm="1">
        <f ca="1" t="array" ref="F18">INDEX({"Consulting","Training","IT Support","Data Entry","Admin Support","Document Processing","Customer Support"},RANDBETWEEN(1,7))</f>
        <v>Customer Support</v>
      </c>
      <c r="G18" s="8">
        <f ca="1" t="shared" si="3"/>
        <v>45684</v>
      </c>
      <c r="H18" t="s">
        <v>10</v>
      </c>
    </row>
    <row r="19" spans="1:8">
      <c r="A19" t="s">
        <v>44</v>
      </c>
      <c r="B19" t="s">
        <v>45</v>
      </c>
      <c r="C19" t="str">
        <f ca="1" t="shared" si="4"/>
        <v>0622436038</v>
      </c>
      <c r="D19" t="str">
        <f ca="1" t="shared" si="1"/>
        <v>christopher chester.844@gmail.com</v>
      </c>
      <c r="E19" t="str" cm="1">
        <f ca="1" t="array" ref="E19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862 Oak Ave,Cape Town</v>
      </c>
      <c r="F19" t="str" cm="1">
        <f ca="1" t="array" ref="F19">INDEX({"Consulting","Training","IT Support","Data Entry","Admin Support","Document Processing","Customer Support"},RANDBETWEEN(1,7))</f>
        <v>Admin Support</v>
      </c>
      <c r="G19" s="8">
        <f ca="1" t="shared" si="3"/>
        <v>46114</v>
      </c>
      <c r="H19" t="s">
        <v>10</v>
      </c>
    </row>
    <row r="20" spans="1:8">
      <c r="A20" t="s">
        <v>46</v>
      </c>
      <c r="B20" t="s">
        <v>47</v>
      </c>
      <c r="C20" t="str">
        <f ca="1" t="shared" si="4"/>
        <v>0806914317</v>
      </c>
      <c r="D20" t="str">
        <f ca="1" t="shared" si="1"/>
        <v>chan jiang.279@gmail.com</v>
      </c>
      <c r="E20" t="str" cm="1">
        <f ca="1" t="array" ref="E20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848 Nelson Mandela Rd,Pretoria</v>
      </c>
      <c r="F20" t="str" cm="1">
        <f ca="1" t="array" ref="F20">INDEX({"Consulting","Training","IT Support","Data Entry","Admin Support","Document Processing","Customer Support"},RANDBETWEEN(1,7))</f>
        <v>Customer Support</v>
      </c>
      <c r="G20" s="8">
        <f ca="1" t="shared" si="3"/>
        <v>45876</v>
      </c>
      <c r="H20" t="s">
        <v>10</v>
      </c>
    </row>
    <row r="21" spans="1:8">
      <c r="A21" t="s">
        <v>48</v>
      </c>
      <c r="B21" t="s">
        <v>49</v>
      </c>
      <c r="C21" t="str">
        <f ca="1" t="shared" si="4"/>
        <v>0842315308</v>
      </c>
      <c r="D21" t="str">
        <f ca="1" t="shared" si="1"/>
        <v>karishma naidoo.12@gmail.com</v>
      </c>
      <c r="E21" t="str" cm="1">
        <f ca="1" t="array" ref="E21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729 Oak Ave,Johannesburg</v>
      </c>
      <c r="F21" t="str" cm="1">
        <f ca="1" t="array" ref="F21">INDEX({"Consulting","Training","IT Support","Data Entry","Admin Support","Document Processing","Customer Support"},RANDBETWEEN(1,7))</f>
        <v>Consulting</v>
      </c>
      <c r="G21" s="8">
        <f ca="1" t="shared" si="3"/>
        <v>45674</v>
      </c>
      <c r="H21" t="s">
        <v>31</v>
      </c>
    </row>
    <row r="22" spans="1:8">
      <c r="A22" t="s">
        <v>50</v>
      </c>
      <c r="B22" t="s">
        <v>51</v>
      </c>
      <c r="C22" t="str">
        <f ca="1" t="shared" si="4"/>
        <v>0675952024</v>
      </c>
      <c r="D22" t="str">
        <f ca="1" t="shared" si="1"/>
        <v>bhavaan singh.867@gmail.com</v>
      </c>
      <c r="E22" t="str" cm="1">
        <f ca="1" t="array" ref="E22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957 Main St,Pretoria</v>
      </c>
      <c r="F22" t="str" cm="1">
        <f ca="1" t="array" ref="F22">INDEX({"Consulting","Training","IT Support","Data Entry","Admin Support","Document Processing","Customer Support"},RANDBETWEEN(1,7))</f>
        <v>Consulting</v>
      </c>
      <c r="G22" s="8">
        <f ca="1" t="shared" si="3"/>
        <v>45662</v>
      </c>
      <c r="H22" t="s">
        <v>10</v>
      </c>
    </row>
    <row r="23" spans="1:8">
      <c r="A23" t="s">
        <v>52</v>
      </c>
      <c r="B23" t="s">
        <v>53</v>
      </c>
      <c r="C23" t="str">
        <f ca="1" t="shared" si="4"/>
        <v>0628655230</v>
      </c>
      <c r="D23" t="str">
        <f ca="1" t="shared" si="1"/>
        <v>chante mill.908@gmail.com</v>
      </c>
      <c r="E23" t="str" cm="1">
        <f ca="1" t="array" ref="E23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585 Market Rd,Durban</v>
      </c>
      <c r="F23" t="str" cm="1">
        <f ca="1" t="array" ref="F23">INDEX({"Consulting","Training","IT Support","Data Entry","Admin Support","Document Processing","Customer Support"},RANDBETWEEN(1,7))</f>
        <v>Admin Support</v>
      </c>
      <c r="G23" s="8">
        <f ca="1" t="shared" ref="G23:G31" si="5">DATE(2025,1,1)+RANDBETWEEN(0,500)</f>
        <v>46098</v>
      </c>
      <c r="H23" t="s">
        <v>10</v>
      </c>
    </row>
    <row r="24" spans="1:8">
      <c r="A24" t="s">
        <v>54</v>
      </c>
      <c r="B24" t="s">
        <v>55</v>
      </c>
      <c r="C24" t="str">
        <f ca="1" t="shared" ref="C24:C31" si="6">"0"&amp;RANDBETWEEN(60,89)&amp;RANDBETWEEN(1000000,9999999)</f>
        <v>0707523575</v>
      </c>
      <c r="D24" t="str">
        <f ca="1" t="shared" si="1"/>
        <v>akiba ramuthaar.267@gmail.com</v>
      </c>
      <c r="E24" t="str" cm="1">
        <f ca="1" t="array" ref="E24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577 Main St,Cape Town</v>
      </c>
      <c r="F24" t="str" cm="1">
        <f ca="1" t="array" ref="F24">INDEX({"Consulting","Training","IT Support","Data Entry","Admin Support","Document Processing","Customer Support"},RANDBETWEEN(1,7))</f>
        <v>Consulting</v>
      </c>
      <c r="G24" s="8">
        <f ca="1" t="shared" si="5"/>
        <v>45801</v>
      </c>
      <c r="H24" t="s">
        <v>10</v>
      </c>
    </row>
    <row r="25" spans="1:8">
      <c r="A25" t="s">
        <v>56</v>
      </c>
      <c r="B25" t="s">
        <v>57</v>
      </c>
      <c r="C25" t="str">
        <f ca="1" t="shared" si="6"/>
        <v>0765449978</v>
      </c>
      <c r="D25" t="str">
        <f ca="1" t="shared" si="1"/>
        <v>akona dube.183@gmail.com</v>
      </c>
      <c r="E25" t="str" cm="1">
        <f ca="1" t="array" ref="E25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995 Hillcrest Rd,Johannesburg</v>
      </c>
      <c r="F25" t="str" cm="1">
        <f ca="1" t="array" ref="F25">INDEX({"Consulting","Training","IT Support","Data Entry","Admin Support","Document Processing","Customer Support"},RANDBETWEEN(1,7))</f>
        <v>Training</v>
      </c>
      <c r="G25" s="8">
        <f ca="1" t="shared" si="5"/>
        <v>45695</v>
      </c>
      <c r="H25" t="s">
        <v>10</v>
      </c>
    </row>
    <row r="26" spans="1:8">
      <c r="A26" t="s">
        <v>58</v>
      </c>
      <c r="B26" t="s">
        <v>59</v>
      </c>
      <c r="C26" t="str">
        <f ca="1" t="shared" si="6"/>
        <v>0695199447</v>
      </c>
      <c r="D26" t="str">
        <f ca="1" t="shared" si="1"/>
        <v>lungelo cele.259@gmail.com</v>
      </c>
      <c r="E26" t="str" cm="1">
        <f ca="1" t="array" ref="E26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146 Nelson Mandela Rd,Johannesburg</v>
      </c>
      <c r="F26" t="str" cm="1">
        <f ca="1" t="array" ref="F26">INDEX({"Consulting","Training","IT Support","Data Entry","Admin Support","Document Processing","Customer Support"},RANDBETWEEN(1,7))</f>
        <v>IT Support</v>
      </c>
      <c r="G26" s="8">
        <f ca="1" t="shared" si="5"/>
        <v>46020</v>
      </c>
      <c r="H26" t="s">
        <v>31</v>
      </c>
    </row>
    <row r="27" spans="1:8">
      <c r="A27" t="s">
        <v>60</v>
      </c>
      <c r="B27" t="s">
        <v>61</v>
      </c>
      <c r="C27" t="str">
        <f ca="1" t="shared" si="6"/>
        <v>0748535790</v>
      </c>
      <c r="D27" t="str">
        <f ca="1" t="shared" si="1"/>
        <v>sakhile khumalo.160@gmail.com</v>
      </c>
      <c r="E27" t="str" cm="1">
        <f ca="1" t="array" ref="E27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684 Main St,Johannesburg</v>
      </c>
      <c r="F27" t="str" cm="1">
        <f ca="1" t="array" ref="F27">INDEX({"Consulting","Training","IT Support","Data Entry","Admin Support","Document Processing","Customer Support"},RANDBETWEEN(1,7))</f>
        <v>Admin Support</v>
      </c>
      <c r="G27" s="8">
        <f ca="1" t="shared" si="5"/>
        <v>46094</v>
      </c>
      <c r="H27" t="s">
        <v>10</v>
      </c>
    </row>
    <row r="28" spans="1:8">
      <c r="A28" t="s">
        <v>62</v>
      </c>
      <c r="B28" t="s">
        <v>63</v>
      </c>
      <c r="C28" t="str">
        <f ca="1" t="shared" si="6"/>
        <v>0619651002</v>
      </c>
      <c r="D28" t="str">
        <f ca="1" t="shared" si="1"/>
        <v>kwanele mkhwanazi.448@gmail.com</v>
      </c>
      <c r="E28" t="str" cm="1">
        <f ca="1" t="array" ref="E28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931 Nelson Mandela Rd,Midrand</v>
      </c>
      <c r="F28" t="str" cm="1">
        <f ca="1" t="array" ref="F28">INDEX({"Consulting","Training","IT Support","Data Entry","Admin Support","Document Processing","Customer Support"},RANDBETWEEN(1,7))</f>
        <v>Document Processing</v>
      </c>
      <c r="G28" s="8">
        <f ca="1" t="shared" si="5"/>
        <v>45985</v>
      </c>
      <c r="H28" t="s">
        <v>10</v>
      </c>
    </row>
    <row r="29" spans="1:8">
      <c r="A29" t="s">
        <v>64</v>
      </c>
      <c r="B29" t="s">
        <v>65</v>
      </c>
      <c r="C29" t="str">
        <f ca="1" t="shared" si="6"/>
        <v>0733134484</v>
      </c>
      <c r="D29" t="str">
        <f ca="1" t="shared" si="1"/>
        <v>harry kane.711@gmail.com</v>
      </c>
      <c r="E29" t="str" cm="1">
        <f ca="1" t="array" ref="E29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626 Long St,Midrand</v>
      </c>
      <c r="F29" t="str" cm="1">
        <f ca="1" t="array" ref="F29">INDEX({"Consulting","Training","IT Support","Data Entry","Admin Support","Document Processing","Customer Support"},RANDBETWEEN(1,7))</f>
        <v>Data Entry</v>
      </c>
      <c r="G29" s="8">
        <f ca="1" t="shared" si="5"/>
        <v>45984</v>
      </c>
      <c r="H29" t="s">
        <v>10</v>
      </c>
    </row>
    <row r="30" spans="1:8">
      <c r="A30" t="s">
        <v>66</v>
      </c>
      <c r="B30" t="s">
        <v>67</v>
      </c>
      <c r="C30" t="str">
        <f ca="1" t="shared" si="6"/>
        <v>0737823926</v>
      </c>
      <c r="D30" t="str">
        <f ca="1" t="shared" si="1"/>
        <v>simphiwe mjiyako.212@gmail.com</v>
      </c>
      <c r="E30" t="str" cm="1">
        <f ca="1" t="array" ref="E30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31 Market Rd,Midrand</v>
      </c>
      <c r="F30" t="str" cm="1">
        <f ca="1" t="array" ref="F30">INDEX({"Consulting","Training","IT Support","Data Entry","Admin Support","Document Processing","Customer Support"},RANDBETWEEN(1,7))</f>
        <v>Customer Support</v>
      </c>
      <c r="G30" s="8">
        <f ca="1" t="shared" si="5"/>
        <v>45994</v>
      </c>
      <c r="H30" t="s">
        <v>31</v>
      </c>
    </row>
    <row r="31" spans="1:8">
      <c r="A31" t="s">
        <v>68</v>
      </c>
      <c r="B31" t="s">
        <v>69</v>
      </c>
      <c r="C31" t="str">
        <f ca="1" t="shared" si="6"/>
        <v>0756140977</v>
      </c>
      <c r="D31" t="str">
        <f ca="1" t="shared" si="1"/>
        <v>sandy cain.967@gmail.com</v>
      </c>
      <c r="E31" t="str" cm="1">
        <f ca="1" t="array" ref="E31">RANDBETWEEN(1,999)&amp;" "&amp;INDEX({"Main St","Long St","Church St","Nelson Mandela Rd","Market Rd","Stations Rd","Oak Ave","Hillcrest Rd"},RANDBETWEEN(1,8))&amp;","&amp;INDEX({"Johannesburg","Pretoria","Durban","Cape Town","Sowerto","Midrand"},RANDBETWEEN(1,6))</f>
        <v>303 Long St,Pretoria</v>
      </c>
      <c r="F31" t="str" cm="1">
        <f ca="1" t="array" ref="F31">INDEX({"Consulting","Training","IT Support","Data Entry","Admin Support","Document Processing","Customer Support"},RANDBETWEEN(1,7))</f>
        <v>Admin Support</v>
      </c>
      <c r="G31" s="8">
        <f ca="1" t="shared" si="5"/>
        <v>46002</v>
      </c>
      <c r="H3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C2" sqref="C2"/>
    </sheetView>
  </sheetViews>
  <sheetFormatPr defaultColWidth="9.14285714285714" defaultRowHeight="15" outlineLevelCol="5"/>
  <cols>
    <col min="1" max="1" width="11.1428571428571" customWidth="1"/>
    <col min="3" max="3" width="19.8571428571429" customWidth="1"/>
    <col min="5" max="5" width="12.8571428571429" customWidth="1"/>
    <col min="6" max="6" width="16" customWidth="1"/>
  </cols>
  <sheetData>
    <row r="1" s="1" customFormat="1" spans="1:6">
      <c r="A1" s="2" t="s">
        <v>70</v>
      </c>
      <c r="B1" s="2" t="s">
        <v>0</v>
      </c>
      <c r="C1" s="2" t="s">
        <v>71</v>
      </c>
      <c r="D1" s="2" t="s">
        <v>72</v>
      </c>
      <c r="E1" s="2" t="s">
        <v>73</v>
      </c>
      <c r="F1" s="2" t="s">
        <v>74</v>
      </c>
    </row>
    <row r="2" spans="1:6">
      <c r="A2" t="s">
        <v>75</v>
      </c>
      <c r="B2" t="str">
        <f ca="1">"C"&amp;TEXT(RANDBETWEEN(1,30),"000")</f>
        <v>C018</v>
      </c>
      <c r="C2" t="str">
        <f ca="1">VLOOKUP(B2,Clients!A:B,2,FALSE)</f>
        <v>Christopher Chester</v>
      </c>
      <c r="D2">
        <f ca="1">RANDBETWEEN(500,15000)</f>
        <v>10568</v>
      </c>
      <c r="E2" s="3">
        <f ca="1">DATE(2025,1,1)+RANDBETWEEN(0,500)</f>
        <v>46069</v>
      </c>
      <c r="F2" t="str" cm="1">
        <f ca="1" t="array" ref="F2">INDEX({"Paid","Pending","Overdue"},RANDBETWEEN(1,3))</f>
        <v>Overdue</v>
      </c>
    </row>
    <row r="3" spans="1:6">
      <c r="A3" t="s">
        <v>76</v>
      </c>
      <c r="B3" t="str">
        <f ca="1" t="shared" ref="B3:B12" si="0">"C"&amp;TEXT(RANDBETWEEN(1,30),"000")</f>
        <v>C006</v>
      </c>
      <c r="C3" t="str">
        <f ca="1">VLOOKUP(B3,Clients!A:B,2,FALSE)</f>
        <v>Manqoba Ndlovu</v>
      </c>
      <c r="D3">
        <f ca="1" t="shared" ref="D3:D12" si="1">RANDBETWEEN(500,15000)</f>
        <v>5565</v>
      </c>
      <c r="E3" s="3">
        <f ca="1" t="shared" ref="E3:E12" si="2">DATE(2025,1,1)+RANDBETWEEN(0,500)</f>
        <v>46015</v>
      </c>
      <c r="F3" t="str" cm="1">
        <f ca="1" t="array" ref="F3">INDEX({"Paid","Pending","Overdue"},RANDBETWEEN(1,3))</f>
        <v>Overdue</v>
      </c>
    </row>
    <row r="4" spans="1:6">
      <c r="A4" t="s">
        <v>77</v>
      </c>
      <c r="B4" t="str">
        <f ca="1" t="shared" si="0"/>
        <v>C025</v>
      </c>
      <c r="C4" t="str">
        <f ca="1">VLOOKUP(B4,Clients!A:B,2,FALSE)</f>
        <v>Lungelo Cele</v>
      </c>
      <c r="D4">
        <f ca="1" t="shared" si="1"/>
        <v>5535</v>
      </c>
      <c r="E4" s="3">
        <f ca="1" t="shared" si="2"/>
        <v>45789</v>
      </c>
      <c r="F4" t="str" cm="1">
        <f ca="1" t="array" ref="F4">INDEX({"Paid","Pending","Overdue"},RANDBETWEEN(1,3))</f>
        <v>Pending</v>
      </c>
    </row>
    <row r="5" spans="1:6">
      <c r="A5" t="s">
        <v>78</v>
      </c>
      <c r="B5" t="str">
        <f ca="1" t="shared" si="0"/>
        <v>C013</v>
      </c>
      <c r="C5" t="str">
        <f ca="1">VLOOKUP(B5,Clients!A:B,2,FALSE)</f>
        <v>Jude Beter</v>
      </c>
      <c r="D5">
        <f ca="1" t="shared" si="1"/>
        <v>12105</v>
      </c>
      <c r="E5" s="3">
        <f ca="1" t="shared" si="2"/>
        <v>45941</v>
      </c>
      <c r="F5" t="str" cm="1">
        <f ca="1" t="array" ref="F5">INDEX({"Paid","Pending","Overdue"},RANDBETWEEN(1,3))</f>
        <v>Pending</v>
      </c>
    </row>
    <row r="6" spans="1:6">
      <c r="A6" t="s">
        <v>79</v>
      </c>
      <c r="B6" t="str">
        <f ca="1" t="shared" si="0"/>
        <v>C009</v>
      </c>
      <c r="C6" t="str">
        <f ca="1">VLOOKUP(B6,Clients!A:B,2,FALSE)</f>
        <v>Peter Peniel</v>
      </c>
      <c r="D6">
        <f ca="1" t="shared" si="1"/>
        <v>2567</v>
      </c>
      <c r="E6" s="3">
        <f ca="1" t="shared" si="2"/>
        <v>45702</v>
      </c>
      <c r="F6" t="str" cm="1">
        <f ca="1" t="array" ref="F6">INDEX({"Paid","Pending","Overdue"},RANDBETWEEN(1,3))</f>
        <v>Overdue</v>
      </c>
    </row>
    <row r="7" spans="1:6">
      <c r="A7" t="s">
        <v>80</v>
      </c>
      <c r="B7" t="str">
        <f ca="1" t="shared" si="0"/>
        <v>C013</v>
      </c>
      <c r="C7" t="str">
        <f ca="1">VLOOKUP(B7,Clients!A:B,2,FALSE)</f>
        <v>Jude Beter</v>
      </c>
      <c r="D7">
        <f ca="1" t="shared" si="1"/>
        <v>904</v>
      </c>
      <c r="E7" s="3">
        <f ca="1" t="shared" si="2"/>
        <v>45808</v>
      </c>
      <c r="F7" t="str" cm="1">
        <f ca="1" t="array" ref="F7">INDEX({"Paid","Pending","Overdue"},RANDBETWEEN(1,3))</f>
        <v>Pending</v>
      </c>
    </row>
    <row r="8" spans="1:6">
      <c r="A8" t="s">
        <v>81</v>
      </c>
      <c r="B8" t="str">
        <f ca="1" t="shared" si="0"/>
        <v>C004</v>
      </c>
      <c r="C8" t="str">
        <f ca="1">VLOOKUP(B8,Clients!A:B,2,FALSE)</f>
        <v>Luyanda Zuma</v>
      </c>
      <c r="D8">
        <f ca="1" t="shared" si="1"/>
        <v>7934</v>
      </c>
      <c r="E8" s="3">
        <f ca="1" t="shared" si="2"/>
        <v>45999</v>
      </c>
      <c r="F8" t="str" cm="1">
        <f ca="1" t="array" ref="F8">INDEX({"Paid","Pending","Overdue"},RANDBETWEEN(1,3))</f>
        <v>Paid</v>
      </c>
    </row>
    <row r="9" spans="1:6">
      <c r="A9" t="s">
        <v>82</v>
      </c>
      <c r="B9" t="str">
        <f ca="1" t="shared" si="0"/>
        <v>C015</v>
      </c>
      <c r="C9" t="str">
        <f ca="1">VLOOKUP(B9,Clients!A:B,2,FALSE)</f>
        <v>Vusi Sibiya</v>
      </c>
      <c r="D9">
        <f ca="1" t="shared" si="1"/>
        <v>14104</v>
      </c>
      <c r="E9" s="3">
        <f ca="1" t="shared" si="2"/>
        <v>46015</v>
      </c>
      <c r="F9" t="str" cm="1">
        <f ca="1" t="array" ref="F9">INDEX({"Paid","Pending","Overdue"},RANDBETWEEN(1,3))</f>
        <v>Pending</v>
      </c>
    </row>
    <row r="10" spans="1:6">
      <c r="A10" t="s">
        <v>83</v>
      </c>
      <c r="B10" t="str">
        <f ca="1" t="shared" si="0"/>
        <v>C024</v>
      </c>
      <c r="C10" t="str">
        <f ca="1">VLOOKUP(B10,Clients!A:B,2,FALSE)</f>
        <v>Akona Dube</v>
      </c>
      <c r="D10">
        <f ca="1" t="shared" si="1"/>
        <v>3987</v>
      </c>
      <c r="E10" s="3">
        <f ca="1" t="shared" si="2"/>
        <v>45951</v>
      </c>
      <c r="F10" t="str" cm="1">
        <f ca="1" t="array" ref="F10">INDEX({"Paid","Pending","Overdue"},RANDBETWEEN(1,3))</f>
        <v>Overdue</v>
      </c>
    </row>
    <row r="11" spans="1:6">
      <c r="A11" t="s">
        <v>84</v>
      </c>
      <c r="B11" t="str">
        <f ca="1" t="shared" si="0"/>
        <v>C005</v>
      </c>
      <c r="C11" t="str">
        <f ca="1">VLOOKUP(B11,Clients!A:B,2,FALSE)</f>
        <v>Nosiswa Ncele</v>
      </c>
      <c r="D11">
        <f ca="1" t="shared" si="1"/>
        <v>12093</v>
      </c>
      <c r="E11" s="3">
        <f ca="1" t="shared" si="2"/>
        <v>45880</v>
      </c>
      <c r="F11" t="str" cm="1">
        <f ca="1" t="array" ref="F11">INDEX({"Paid","Pending","Overdue"},RANDBETWEEN(1,3))</f>
        <v>Paid</v>
      </c>
    </row>
    <row r="12" spans="1:6">
      <c r="A12" t="s">
        <v>85</v>
      </c>
      <c r="B12" t="str">
        <f ca="1" t="shared" si="0"/>
        <v>C010</v>
      </c>
      <c r="C12" t="str">
        <f ca="1">VLOOKUP(B12,Clients!A:B,2,FALSE)</f>
        <v>Linda Evere</v>
      </c>
      <c r="D12">
        <f ca="1" t="shared" si="1"/>
        <v>4637</v>
      </c>
      <c r="E12" s="3">
        <f ca="1" t="shared" si="2"/>
        <v>45774</v>
      </c>
      <c r="F12" t="str" cm="1">
        <f ca="1" t="array" ref="F12">INDEX({"Paid","Pending","Overdue"},RANDBETWEEN(1,3))</f>
        <v>Paid</v>
      </c>
    </row>
    <row r="13" spans="1:6">
      <c r="A13" t="s">
        <v>86</v>
      </c>
      <c r="B13" t="str">
        <f ca="1" t="shared" ref="B13:B22" si="3">"C"&amp;TEXT(RANDBETWEEN(1,30),"000")</f>
        <v>C010</v>
      </c>
      <c r="C13" t="str">
        <f ca="1">VLOOKUP(B13,Clients!A:B,2,FALSE)</f>
        <v>Linda Evere</v>
      </c>
      <c r="D13">
        <f ca="1" t="shared" ref="D13:D22" si="4">RANDBETWEEN(500,15000)</f>
        <v>5330</v>
      </c>
      <c r="E13" s="3">
        <f ca="1" t="shared" ref="E13:E22" si="5">DATE(2025,1,1)+RANDBETWEEN(0,500)</f>
        <v>46026</v>
      </c>
      <c r="F13" t="str" cm="1">
        <f ca="1" t="array" ref="F13">INDEX({"Paid","Pending","Overdue"},RANDBETWEEN(1,3))</f>
        <v>Overdue</v>
      </c>
    </row>
    <row r="14" spans="1:6">
      <c r="A14" t="s">
        <v>87</v>
      </c>
      <c r="B14" t="str">
        <f ca="1" t="shared" si="3"/>
        <v>C015</v>
      </c>
      <c r="C14" t="str">
        <f ca="1">VLOOKUP(B14,Clients!A:B,2,FALSE)</f>
        <v>Vusi Sibiya</v>
      </c>
      <c r="D14">
        <f ca="1" t="shared" si="4"/>
        <v>933</v>
      </c>
      <c r="E14" s="3">
        <f ca="1" t="shared" si="5"/>
        <v>45947</v>
      </c>
      <c r="F14" t="str" cm="1">
        <f ca="1" t="array" ref="F14">INDEX({"Paid","Pending","Overdue"},RANDBETWEEN(1,3))</f>
        <v>Overdue</v>
      </c>
    </row>
    <row r="15" spans="1:6">
      <c r="A15" t="s">
        <v>88</v>
      </c>
      <c r="B15" t="str">
        <f ca="1" t="shared" si="3"/>
        <v>C016</v>
      </c>
      <c r="C15" t="str">
        <f ca="1">VLOOKUP(B15,Clients!A:B,2,FALSE)</f>
        <v>Brandy Harris</v>
      </c>
      <c r="D15">
        <f ca="1" t="shared" si="4"/>
        <v>9830</v>
      </c>
      <c r="E15" s="3">
        <f ca="1" t="shared" si="5"/>
        <v>46071</v>
      </c>
      <c r="F15" t="str" cm="1">
        <f ca="1" t="array" ref="F15">INDEX({"Paid","Pending","Overdue"},RANDBETWEEN(1,3))</f>
        <v>Overdue</v>
      </c>
    </row>
    <row r="16" spans="1:6">
      <c r="A16" t="s">
        <v>89</v>
      </c>
      <c r="B16" t="str">
        <f ca="1" t="shared" si="3"/>
        <v>C004</v>
      </c>
      <c r="C16" t="str">
        <f ca="1">VLOOKUP(B16,Clients!A:B,2,FALSE)</f>
        <v>Luyanda Zuma</v>
      </c>
      <c r="D16">
        <f ca="1" t="shared" si="4"/>
        <v>10316</v>
      </c>
      <c r="E16" s="3">
        <f ca="1" t="shared" si="5"/>
        <v>45829</v>
      </c>
      <c r="F16" t="str" cm="1">
        <f ca="1" t="array" ref="F16">INDEX({"Paid","Pending","Overdue"},RANDBETWEEN(1,3))</f>
        <v>Paid</v>
      </c>
    </row>
    <row r="17" spans="1:6">
      <c r="A17" t="s">
        <v>90</v>
      </c>
      <c r="B17" t="str">
        <f ca="1" t="shared" si="3"/>
        <v>C010</v>
      </c>
      <c r="C17" t="str">
        <f ca="1">VLOOKUP(B17,Clients!A:B,2,FALSE)</f>
        <v>Linda Evere</v>
      </c>
      <c r="D17">
        <f ca="1" t="shared" si="4"/>
        <v>14345</v>
      </c>
      <c r="E17" s="3">
        <f ca="1" t="shared" si="5"/>
        <v>45931</v>
      </c>
      <c r="F17" t="str" cm="1">
        <f ca="1" t="array" ref="F17">INDEX({"Paid","Pending","Overdue"},RANDBETWEEN(1,3))</f>
        <v>Paid</v>
      </c>
    </row>
    <row r="18" spans="1:6">
      <c r="A18" t="s">
        <v>91</v>
      </c>
      <c r="B18" t="str">
        <f ca="1" t="shared" si="3"/>
        <v>C015</v>
      </c>
      <c r="C18" t="str">
        <f ca="1">VLOOKUP(B18,Clients!A:B,2,FALSE)</f>
        <v>Vusi Sibiya</v>
      </c>
      <c r="D18">
        <f ca="1" t="shared" si="4"/>
        <v>5706</v>
      </c>
      <c r="E18" s="3">
        <f ca="1" t="shared" si="5"/>
        <v>45923</v>
      </c>
      <c r="F18" t="str" cm="1">
        <f ca="1" t="array" ref="F18">INDEX({"Paid","Pending","Overdue"},RANDBETWEEN(1,3))</f>
        <v>Paid</v>
      </c>
    </row>
    <row r="19" spans="1:6">
      <c r="A19" t="s">
        <v>92</v>
      </c>
      <c r="B19" t="str">
        <f ca="1" t="shared" si="3"/>
        <v>C030</v>
      </c>
      <c r="C19" t="str">
        <f ca="1">VLOOKUP(B19,Clients!A:B,2,FALSE)</f>
        <v>Sandy Cain</v>
      </c>
      <c r="D19">
        <f ca="1" t="shared" si="4"/>
        <v>1314</v>
      </c>
      <c r="E19" s="3">
        <f ca="1" t="shared" si="5"/>
        <v>45703</v>
      </c>
      <c r="F19" t="str" cm="1">
        <f ca="1" t="array" ref="F19">INDEX({"Paid","Pending","Overdue"},RANDBETWEEN(1,3))</f>
        <v>Overdue</v>
      </c>
    </row>
    <row r="20" spans="1:6">
      <c r="A20" t="s">
        <v>93</v>
      </c>
      <c r="B20" t="str">
        <f ca="1" t="shared" si="3"/>
        <v>C018</v>
      </c>
      <c r="C20" t="str">
        <f ca="1">VLOOKUP(B20,Clients!A:B,2,FALSE)</f>
        <v>Christopher Chester</v>
      </c>
      <c r="D20">
        <f ca="1" t="shared" si="4"/>
        <v>3530</v>
      </c>
      <c r="E20" s="3">
        <f ca="1" t="shared" si="5"/>
        <v>46007</v>
      </c>
      <c r="F20" t="str" cm="1">
        <f ca="1" t="array" ref="F20">INDEX({"Paid","Pending","Overdue"},RANDBETWEEN(1,3))</f>
        <v>Pending</v>
      </c>
    </row>
    <row r="21" spans="1:6">
      <c r="A21" t="s">
        <v>94</v>
      </c>
      <c r="B21" t="str">
        <f ca="1" t="shared" si="3"/>
        <v>C008</v>
      </c>
      <c r="C21" t="str">
        <f ca="1">VLOOKUP(B21,Clients!A:B,2,FALSE)</f>
        <v>Andrew Noah</v>
      </c>
      <c r="D21">
        <f ca="1" t="shared" si="4"/>
        <v>10504</v>
      </c>
      <c r="E21" s="3">
        <f ca="1" t="shared" si="5"/>
        <v>45849</v>
      </c>
      <c r="F21" t="str" cm="1">
        <f ca="1" t="array" ref="F21">INDEX({"Paid","Pending","Overdue"},RANDBETWEEN(1,3))</f>
        <v>Paid</v>
      </c>
    </row>
    <row r="22" spans="1:6">
      <c r="A22" t="s">
        <v>95</v>
      </c>
      <c r="B22" t="str">
        <f ca="1" t="shared" si="3"/>
        <v>C030</v>
      </c>
      <c r="C22" t="str">
        <f ca="1">VLOOKUP(B22,Clients!A:B,2,FALSE)</f>
        <v>Sandy Cain</v>
      </c>
      <c r="D22">
        <f ca="1" t="shared" si="4"/>
        <v>9125</v>
      </c>
      <c r="E22" s="3">
        <f ca="1" t="shared" si="5"/>
        <v>45868</v>
      </c>
      <c r="F22" t="str" cm="1">
        <f ca="1" t="array" ref="F22">INDEX({"Paid","Pending","Overdue"},RANDBETWEEN(1,3))</f>
        <v>Overdue</v>
      </c>
    </row>
    <row r="23" spans="1:6">
      <c r="A23" t="s">
        <v>96</v>
      </c>
      <c r="B23" t="str">
        <f ca="1" t="shared" ref="B23:B32" si="6">"C"&amp;TEXT(RANDBETWEEN(1,30),"000")</f>
        <v>C024</v>
      </c>
      <c r="C23" t="str">
        <f ca="1">VLOOKUP(B23,Clients!A:B,2,FALSE)</f>
        <v>Akona Dube</v>
      </c>
      <c r="D23">
        <f ca="1" t="shared" ref="D23:D32" si="7">RANDBETWEEN(500,15000)</f>
        <v>12437</v>
      </c>
      <c r="E23" s="3">
        <f ca="1" t="shared" ref="E23:E32" si="8">DATE(2025,1,1)+RANDBETWEEN(0,500)</f>
        <v>45852</v>
      </c>
      <c r="F23" t="str" cm="1">
        <f ca="1" t="array" ref="F23">INDEX({"Paid","Pending","Overdue"},RANDBETWEEN(1,3))</f>
        <v>Paid</v>
      </c>
    </row>
    <row r="24" spans="1:6">
      <c r="A24" t="s">
        <v>97</v>
      </c>
      <c r="B24" t="str">
        <f ca="1" t="shared" si="6"/>
        <v>C016</v>
      </c>
      <c r="C24" t="str">
        <f ca="1">VLOOKUP(B24,Clients!A:B,2,FALSE)</f>
        <v>Brandy Harris</v>
      </c>
      <c r="D24">
        <f ca="1" t="shared" si="7"/>
        <v>1593</v>
      </c>
      <c r="E24" s="3">
        <f ca="1" t="shared" si="8"/>
        <v>45718</v>
      </c>
      <c r="F24" t="str" cm="1">
        <f ca="1" t="array" ref="F24">INDEX({"Paid","Pending","Overdue"},RANDBETWEEN(1,3))</f>
        <v>Overdue</v>
      </c>
    </row>
    <row r="25" spans="1:6">
      <c r="A25" t="s">
        <v>98</v>
      </c>
      <c r="B25" t="str">
        <f ca="1" t="shared" si="6"/>
        <v>C007</v>
      </c>
      <c r="C25" t="str">
        <f ca="1">VLOOKUP(B25,Clients!A:B,2,FALSE)</f>
        <v>Andrea Speelman</v>
      </c>
      <c r="D25">
        <f ca="1" t="shared" si="7"/>
        <v>4582</v>
      </c>
      <c r="E25" s="3">
        <f ca="1" t="shared" si="8"/>
        <v>45846</v>
      </c>
      <c r="F25" t="str" cm="1">
        <f ca="1" t="array" ref="F25">INDEX({"Paid","Pending","Overdue"},RANDBETWEEN(1,3))</f>
        <v>Overdue</v>
      </c>
    </row>
    <row r="26" spans="1:6">
      <c r="A26" t="s">
        <v>99</v>
      </c>
      <c r="B26" t="str">
        <f ca="1" t="shared" si="6"/>
        <v>C001</v>
      </c>
      <c r="C26" t="str">
        <f ca="1">VLOOKUP(B26,Clients!A:B,2,FALSE)</f>
        <v>John Smith</v>
      </c>
      <c r="D26">
        <f ca="1" t="shared" si="7"/>
        <v>4452</v>
      </c>
      <c r="E26" s="3">
        <f ca="1" t="shared" si="8"/>
        <v>46002</v>
      </c>
      <c r="F26" t="str" cm="1">
        <f ca="1" t="array" ref="F26">INDEX({"Paid","Pending","Overdue"},RANDBETWEEN(1,3))</f>
        <v>Paid</v>
      </c>
    </row>
    <row r="27" spans="1:6">
      <c r="A27" t="s">
        <v>100</v>
      </c>
      <c r="B27" t="str">
        <f ca="1" t="shared" si="6"/>
        <v>C005</v>
      </c>
      <c r="C27" t="str">
        <f ca="1">VLOOKUP(B27,Clients!A:B,2,FALSE)</f>
        <v>Nosiswa Ncele</v>
      </c>
      <c r="D27">
        <f ca="1" t="shared" si="7"/>
        <v>4566</v>
      </c>
      <c r="E27" s="3">
        <f ca="1" t="shared" si="8"/>
        <v>45983</v>
      </c>
      <c r="F27" t="str" cm="1">
        <f ca="1" t="array" ref="F27">INDEX({"Paid","Pending","Overdue"},RANDBETWEEN(1,3))</f>
        <v>Pending</v>
      </c>
    </row>
    <row r="28" spans="1:6">
      <c r="A28" t="s">
        <v>101</v>
      </c>
      <c r="B28" t="str">
        <f ca="1" t="shared" si="6"/>
        <v>C002</v>
      </c>
      <c r="C28" t="str">
        <f ca="1">VLOOKUP(B28,Clients!A:B,2,FALSE)</f>
        <v>Michael Mayers</v>
      </c>
      <c r="D28">
        <f ca="1" t="shared" si="7"/>
        <v>4857</v>
      </c>
      <c r="E28" s="3">
        <f ca="1" t="shared" si="8"/>
        <v>45758</v>
      </c>
      <c r="F28" t="str" cm="1">
        <f ca="1" t="array" ref="F28">INDEX({"Paid","Pending","Overdue"},RANDBETWEEN(1,3))</f>
        <v>Overdue</v>
      </c>
    </row>
    <row r="29" spans="1:6">
      <c r="A29" t="s">
        <v>102</v>
      </c>
      <c r="B29" t="str">
        <f ca="1" t="shared" si="6"/>
        <v>C013</v>
      </c>
      <c r="C29" t="str">
        <f ca="1">VLOOKUP(B29,Clients!A:B,2,FALSE)</f>
        <v>Jude Beter</v>
      </c>
      <c r="D29">
        <f ca="1" t="shared" si="7"/>
        <v>13999</v>
      </c>
      <c r="E29" s="3">
        <f ca="1" t="shared" si="8"/>
        <v>46120</v>
      </c>
      <c r="F29" t="str" cm="1">
        <f ca="1" t="array" ref="F29">INDEX({"Paid","Pending","Overdue"},RANDBETWEEN(1,3))</f>
        <v>Overdue</v>
      </c>
    </row>
    <row r="30" spans="1:6">
      <c r="A30" t="s">
        <v>103</v>
      </c>
      <c r="B30" t="str">
        <f ca="1" t="shared" si="6"/>
        <v>C016</v>
      </c>
      <c r="C30" t="str">
        <f ca="1">VLOOKUP(B30,Clients!A:B,2,FALSE)</f>
        <v>Brandy Harris</v>
      </c>
      <c r="D30">
        <f ca="1" t="shared" si="7"/>
        <v>9310</v>
      </c>
      <c r="E30" s="3">
        <f ca="1" t="shared" si="8"/>
        <v>45696</v>
      </c>
      <c r="F30" t="str" cm="1">
        <f ca="1" t="array" ref="F30">INDEX({"Paid","Pending","Overdue"},RANDBETWEEN(1,3))</f>
        <v>Pending</v>
      </c>
    </row>
    <row r="31" spans="1:6">
      <c r="A31" t="s">
        <v>104</v>
      </c>
      <c r="B31" t="str">
        <f ca="1" t="shared" si="6"/>
        <v>C008</v>
      </c>
      <c r="C31" t="str">
        <f ca="1">VLOOKUP(B31,Clients!A:B,2,FALSE)</f>
        <v>Andrew Noah</v>
      </c>
      <c r="D31">
        <f ca="1" t="shared" si="7"/>
        <v>6228</v>
      </c>
      <c r="E31" s="3">
        <f ca="1" t="shared" si="8"/>
        <v>45725</v>
      </c>
      <c r="F31" t="str" cm="1">
        <f ca="1" t="array" ref="F31">INDEX({"Paid","Pending","Overdue"},RANDBETWEEN(1,3))</f>
        <v>Pending</v>
      </c>
    </row>
    <row r="32" spans="1:6">
      <c r="A32" t="s">
        <v>105</v>
      </c>
      <c r="B32" t="str">
        <f ca="1" t="shared" si="6"/>
        <v>C029</v>
      </c>
      <c r="C32" t="str">
        <f ca="1">VLOOKUP(B32,Clients!A:B,2,FALSE)</f>
        <v>Simphiwe Mjiyako</v>
      </c>
      <c r="D32">
        <f ca="1" t="shared" si="7"/>
        <v>7344</v>
      </c>
      <c r="E32" s="3">
        <f ca="1" t="shared" si="8"/>
        <v>46011</v>
      </c>
      <c r="F32" t="str" cm="1">
        <f ca="1" t="array" ref="F32">INDEX({"Paid","Pending","Overdue"},RANDBETWEEN(1,3))</f>
        <v>Overdue</v>
      </c>
    </row>
    <row r="33" spans="1:6">
      <c r="A33" t="s">
        <v>106</v>
      </c>
      <c r="B33" t="str">
        <f ca="1" t="shared" ref="B33:B41" si="9">"C"&amp;TEXT(RANDBETWEEN(1,30),"000")</f>
        <v>C020</v>
      </c>
      <c r="C33" t="str">
        <f ca="1">VLOOKUP(B33,Clients!A:B,2,FALSE)</f>
        <v>Karishma Naidoo</v>
      </c>
      <c r="D33">
        <f ca="1" t="shared" ref="D33:D41" si="10">RANDBETWEEN(500,15000)</f>
        <v>13511</v>
      </c>
      <c r="E33" s="3">
        <f ca="1" t="shared" ref="E33:E41" si="11">DATE(2025,1,1)+RANDBETWEEN(0,500)</f>
        <v>45783</v>
      </c>
      <c r="F33" t="str" cm="1">
        <f ca="1" t="array" ref="F33">INDEX({"Paid","Pending","Overdue"},RANDBETWEEN(1,3))</f>
        <v>Paid</v>
      </c>
    </row>
    <row r="34" spans="1:6">
      <c r="A34" t="s">
        <v>107</v>
      </c>
      <c r="B34" t="str">
        <f ca="1" t="shared" si="9"/>
        <v>C002</v>
      </c>
      <c r="C34" t="str">
        <f ca="1">VLOOKUP(B34,Clients!A:B,2,FALSE)</f>
        <v>Michael Mayers</v>
      </c>
      <c r="D34">
        <f ca="1" t="shared" si="10"/>
        <v>5468</v>
      </c>
      <c r="E34" s="3">
        <f ca="1" t="shared" si="11"/>
        <v>45846</v>
      </c>
      <c r="F34" t="str" cm="1">
        <f ca="1" t="array" ref="F34">INDEX({"Paid","Pending","Overdue"},RANDBETWEEN(1,3))</f>
        <v>Paid</v>
      </c>
    </row>
    <row r="35" spans="1:6">
      <c r="A35" t="s">
        <v>108</v>
      </c>
      <c r="B35" t="str">
        <f ca="1" t="shared" si="9"/>
        <v>C019</v>
      </c>
      <c r="C35" t="str">
        <f ca="1">VLOOKUP(B35,Clients!A:B,2,FALSE)</f>
        <v>Chan Jiang</v>
      </c>
      <c r="D35">
        <f ca="1" t="shared" si="10"/>
        <v>12232</v>
      </c>
      <c r="E35" s="3">
        <f ca="1" t="shared" si="11"/>
        <v>46117</v>
      </c>
      <c r="F35" t="str" cm="1">
        <f ca="1" t="array" ref="F35">INDEX({"Paid","Pending","Overdue"},RANDBETWEEN(1,3))</f>
        <v>Overdue</v>
      </c>
    </row>
    <row r="36" spans="1:6">
      <c r="A36" t="s">
        <v>109</v>
      </c>
      <c r="B36" t="str">
        <f ca="1" t="shared" si="9"/>
        <v>C018</v>
      </c>
      <c r="C36" t="str">
        <f ca="1">VLOOKUP(B36,Clients!A:B,2,FALSE)</f>
        <v>Christopher Chester</v>
      </c>
      <c r="D36">
        <f ca="1" t="shared" si="10"/>
        <v>4069</v>
      </c>
      <c r="E36" s="3">
        <f ca="1" t="shared" si="11"/>
        <v>45784</v>
      </c>
      <c r="F36" t="str" cm="1">
        <f ca="1" t="array" ref="F36">INDEX({"Paid","Pending","Overdue"},RANDBETWEEN(1,3))</f>
        <v>Pending</v>
      </c>
    </row>
    <row r="37" spans="1:6">
      <c r="A37" t="s">
        <v>110</v>
      </c>
      <c r="B37" t="str">
        <f ca="1" t="shared" si="9"/>
        <v>C010</v>
      </c>
      <c r="C37" t="str">
        <f ca="1">VLOOKUP(B37,Clients!A:B,2,FALSE)</f>
        <v>Linda Evere</v>
      </c>
      <c r="D37">
        <f ca="1" t="shared" si="10"/>
        <v>9262</v>
      </c>
      <c r="E37" s="3">
        <f ca="1" t="shared" si="11"/>
        <v>45955</v>
      </c>
      <c r="F37" t="str" cm="1">
        <f ca="1" t="array" ref="F37">INDEX({"Paid","Pending","Overdue"},RANDBETWEEN(1,3))</f>
        <v>Paid</v>
      </c>
    </row>
    <row r="38" spans="1:6">
      <c r="A38" t="s">
        <v>111</v>
      </c>
      <c r="B38" t="str">
        <f ca="1" t="shared" si="9"/>
        <v>C012</v>
      </c>
      <c r="C38" t="str">
        <f ca="1">VLOOKUP(B38,Clients!A:B,2,FALSE)</f>
        <v>Bobby Carter</v>
      </c>
      <c r="D38">
        <f ca="1" t="shared" si="10"/>
        <v>5743</v>
      </c>
      <c r="E38" s="3">
        <f ca="1" t="shared" si="11"/>
        <v>46120</v>
      </c>
      <c r="F38" t="str" cm="1">
        <f ca="1" t="array" ref="F38">INDEX({"Paid","Pending","Overdue"},RANDBETWEEN(1,3))</f>
        <v>Paid</v>
      </c>
    </row>
    <row r="39" spans="1:6">
      <c r="A39" t="s">
        <v>112</v>
      </c>
      <c r="B39" t="str">
        <f ca="1" t="shared" si="9"/>
        <v>C029</v>
      </c>
      <c r="C39" t="str">
        <f ca="1">VLOOKUP(B39,Clients!A:B,2,FALSE)</f>
        <v>Simphiwe Mjiyako</v>
      </c>
      <c r="D39">
        <f ca="1" t="shared" si="10"/>
        <v>4600</v>
      </c>
      <c r="E39" s="3">
        <f ca="1" t="shared" si="11"/>
        <v>45968</v>
      </c>
      <c r="F39" t="str" cm="1">
        <f ca="1" t="array" ref="F39">INDEX({"Paid","Pending","Overdue"},RANDBETWEEN(1,3))</f>
        <v>Paid</v>
      </c>
    </row>
    <row r="40" spans="1:6">
      <c r="A40" t="s">
        <v>113</v>
      </c>
      <c r="B40" t="str">
        <f ca="1" t="shared" si="9"/>
        <v>C011</v>
      </c>
      <c r="C40" t="str">
        <f ca="1">VLOOKUP(B40,Clients!A:B,2,FALSE)</f>
        <v>Coana Mende</v>
      </c>
      <c r="D40">
        <f ca="1" t="shared" si="10"/>
        <v>12336</v>
      </c>
      <c r="E40" s="3">
        <f ca="1" t="shared" si="11"/>
        <v>45717</v>
      </c>
      <c r="F40" t="str" cm="1">
        <f ca="1" t="array" ref="F40">INDEX({"Paid","Pending","Overdue"},RANDBETWEEN(1,3))</f>
        <v>Pending</v>
      </c>
    </row>
    <row r="41" spans="1:6">
      <c r="A41" t="s">
        <v>114</v>
      </c>
      <c r="B41" t="str">
        <f ca="1" t="shared" si="9"/>
        <v>C007</v>
      </c>
      <c r="C41" t="str">
        <f ca="1">VLOOKUP(B41,Clients!A:B,2,FALSE)</f>
        <v>Andrea Speelman</v>
      </c>
      <c r="D41">
        <f ca="1" t="shared" si="10"/>
        <v>4947</v>
      </c>
      <c r="E41" s="3">
        <f ca="1" t="shared" si="11"/>
        <v>46058</v>
      </c>
      <c r="F41" t="str" cm="1">
        <f ca="1" t="array" ref="F41">INDEX({"Paid","Pending","Overdue"},RANDBETWEEN(1,3))</f>
        <v>Overdue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G21" sqref="G21"/>
    </sheetView>
  </sheetViews>
  <sheetFormatPr defaultColWidth="9.14285714285714" defaultRowHeight="15" outlineLevelCol="5"/>
  <cols>
    <col min="1" max="1" width="16.4285714285714" customWidth="1"/>
    <col min="3" max="3" width="11.4285714285714"/>
    <col min="4" max="4" width="9.57142857142857"/>
    <col min="5" max="5" width="14.1428571428571" customWidth="1"/>
    <col min="6" max="6" width="11" customWidth="1"/>
  </cols>
  <sheetData>
    <row r="1" s="1" customFormat="1" spans="1:6">
      <c r="A1" s="2" t="s">
        <v>115</v>
      </c>
      <c r="B1" s="2" t="s">
        <v>0</v>
      </c>
      <c r="C1" s="2" t="s">
        <v>116</v>
      </c>
      <c r="D1" s="2" t="s">
        <v>117</v>
      </c>
      <c r="E1" s="2" t="s">
        <v>118</v>
      </c>
      <c r="F1" s="2" t="s">
        <v>7</v>
      </c>
    </row>
    <row r="2" spans="1:6">
      <c r="A2" t="str">
        <f>"APT"&amp;TEXT(ROW(A1),"000")</f>
        <v>APT001</v>
      </c>
      <c r="B2" t="str">
        <f ca="1">"C"&amp;TEXT(RANDBETWEEN(1,30),"000")</f>
        <v>C020</v>
      </c>
      <c r="C2" s="3">
        <f ca="1">TODAY()+RANDBETWEEN(-30,60)</f>
        <v>46153</v>
      </c>
      <c r="D2" s="4">
        <f ca="1">TIME(RANDBETWEEN(8,16),CHOOSE(RANDBETWEEN(1,4),0,15,30,45),0)</f>
        <v>0.520833333333333</v>
      </c>
      <c r="E2" t="str" cm="1">
        <f ca="1" t="array" ref="E2">INDEX({"Sarah","James","Thabo","Lerato","Michael","Ayanda"},RANDBETWEEN(1,6))</f>
        <v>Lerato</v>
      </c>
      <c r="F2" t="str" cm="1">
        <f ca="1" t="array" ref="F2">INDEX({"Scheduled","Completed","Cancelled"},RANDBETWEEN(1,3))</f>
        <v>Scheduled</v>
      </c>
    </row>
    <row r="3" spans="1:6">
      <c r="A3" t="str">
        <f t="shared" ref="A3:A25" si="0">"APT"&amp;TEXT(ROW(A2),"000")</f>
        <v>APT002</v>
      </c>
      <c r="B3" t="str">
        <f ca="1" t="shared" ref="B3:B12" si="1">"C"&amp;TEXT(RANDBETWEEN(1,30),"000")</f>
        <v>C004</v>
      </c>
      <c r="C3" s="3">
        <f ca="1" t="shared" ref="C3:C12" si="2">TODAY()+RANDBETWEEN(-30,60)</f>
        <v>46172</v>
      </c>
      <c r="D3" s="4">
        <f ca="1" t="shared" ref="D3:D12" si="3">TIME(RANDBETWEEN(8,16),CHOOSE(RANDBETWEEN(1,4),0,15,30,45),0)</f>
        <v>0.614583333333333</v>
      </c>
      <c r="E3" t="str" cm="1">
        <f ca="1" t="array" ref="E3">INDEX({"Sarah","James","Thabo","Lerato","Michael","Ayanda"},RANDBETWEEN(1,6))</f>
        <v>Lerato</v>
      </c>
      <c r="F3" t="str" cm="1">
        <f ca="1" t="array" ref="F3">INDEX({"Scheduled","Completed","Cancelled"},RANDBETWEEN(1,3))</f>
        <v>Completed</v>
      </c>
    </row>
    <row r="4" spans="1:6">
      <c r="A4" t="str">
        <f t="shared" si="0"/>
        <v>APT003</v>
      </c>
      <c r="B4" t="str">
        <f ca="1" t="shared" si="1"/>
        <v>C018</v>
      </c>
      <c r="C4" s="3">
        <f ca="1" t="shared" si="2"/>
        <v>46163</v>
      </c>
      <c r="D4" s="4">
        <f ca="1" t="shared" si="3"/>
        <v>0.385416666666667</v>
      </c>
      <c r="E4" t="str" cm="1">
        <f ca="1" t="array" ref="E4">INDEX({"Sarah","James","Thabo","Lerato","Michael","Ayanda"},RANDBETWEEN(1,6))</f>
        <v>Thabo</v>
      </c>
      <c r="F4" t="str" cm="1">
        <f ca="1" t="array" ref="F4">INDEX({"Scheduled","Completed","Cancelled"},RANDBETWEEN(1,3))</f>
        <v>Cancelled</v>
      </c>
    </row>
    <row r="5" spans="1:6">
      <c r="A5" t="str">
        <f t="shared" si="0"/>
        <v>APT004</v>
      </c>
      <c r="B5" t="str">
        <f ca="1" t="shared" si="1"/>
        <v>C009</v>
      </c>
      <c r="C5" s="3">
        <f ca="1" t="shared" si="2"/>
        <v>46222</v>
      </c>
      <c r="D5" s="4">
        <f ca="1" t="shared" si="3"/>
        <v>0.40625</v>
      </c>
      <c r="E5" t="str" cm="1">
        <f ca="1" t="array" ref="E5">INDEX({"Sarah","James","Thabo","Lerato","Michael","Ayanda"},RANDBETWEEN(1,6))</f>
        <v>Ayanda</v>
      </c>
      <c r="F5" t="str" cm="1">
        <f ca="1" t="array" ref="F5">INDEX({"Scheduled","Completed","Cancelled"},RANDBETWEEN(1,3))</f>
        <v>Cancelled</v>
      </c>
    </row>
    <row r="6" spans="1:6">
      <c r="A6" t="str">
        <f t="shared" si="0"/>
        <v>APT005</v>
      </c>
      <c r="B6" t="str">
        <f ca="1" t="shared" si="1"/>
        <v>C014</v>
      </c>
      <c r="C6" s="3">
        <f ca="1" t="shared" si="2"/>
        <v>46174</v>
      </c>
      <c r="D6" s="4">
        <f ca="1" t="shared" si="3"/>
        <v>0.364583333333333</v>
      </c>
      <c r="E6" t="str" cm="1">
        <f ca="1" t="array" ref="E6">INDEX({"Sarah","James","Thabo","Lerato","Michael","Ayanda"},RANDBETWEEN(1,6))</f>
        <v>James</v>
      </c>
      <c r="F6" t="str" cm="1">
        <f ca="1" t="array" ref="F6">INDEX({"Scheduled","Completed","Cancelled"},RANDBETWEEN(1,3))</f>
        <v>Cancelled</v>
      </c>
    </row>
    <row r="7" spans="1:6">
      <c r="A7" t="str">
        <f t="shared" si="0"/>
        <v>APT006</v>
      </c>
      <c r="B7" t="str">
        <f ca="1" t="shared" si="1"/>
        <v>C029</v>
      </c>
      <c r="C7" s="3">
        <f ca="1" t="shared" si="2"/>
        <v>46212</v>
      </c>
      <c r="D7" s="4">
        <f ca="1" t="shared" si="3"/>
        <v>0.645833333333333</v>
      </c>
      <c r="E7" t="str" cm="1">
        <f ca="1" t="array" ref="E7">INDEX({"Sarah","James","Thabo","Lerato","Michael","Ayanda"},RANDBETWEEN(1,6))</f>
        <v>James</v>
      </c>
      <c r="F7" t="str" cm="1">
        <f ca="1" t="array" ref="F7">INDEX({"Scheduled","Completed","Cancelled"},RANDBETWEEN(1,3))</f>
        <v>Cancelled</v>
      </c>
    </row>
    <row r="8" spans="1:6">
      <c r="A8" t="str">
        <f t="shared" si="0"/>
        <v>APT007</v>
      </c>
      <c r="B8" t="str">
        <f ca="1" t="shared" si="1"/>
        <v>C001</v>
      </c>
      <c r="C8" s="3">
        <f ca="1" t="shared" si="2"/>
        <v>46161</v>
      </c>
      <c r="D8" s="4">
        <f ca="1" t="shared" si="3"/>
        <v>0.510416666666667</v>
      </c>
      <c r="E8" t="str" cm="1">
        <f ca="1" t="array" ref="E8">INDEX({"Sarah","James","Thabo","Lerato","Michael","Ayanda"},RANDBETWEEN(1,6))</f>
        <v>Thabo</v>
      </c>
      <c r="F8" t="str" cm="1">
        <f ca="1" t="array" ref="F8">INDEX({"Scheduled","Completed","Cancelled"},RANDBETWEEN(1,3))</f>
        <v>Completed</v>
      </c>
    </row>
    <row r="9" spans="1:6">
      <c r="A9" t="str">
        <f t="shared" si="0"/>
        <v>APT008</v>
      </c>
      <c r="B9" t="str">
        <f ca="1" t="shared" si="1"/>
        <v>C002</v>
      </c>
      <c r="C9" s="3">
        <f ca="1" t="shared" si="2"/>
        <v>46154</v>
      </c>
      <c r="D9" s="4">
        <f ca="1" t="shared" si="3"/>
        <v>0.416666666666667</v>
      </c>
      <c r="E9" t="str" cm="1">
        <f ca="1" t="array" ref="E9">INDEX({"Sarah","James","Thabo","Lerato","Michael","Ayanda"},RANDBETWEEN(1,6))</f>
        <v>Thabo</v>
      </c>
      <c r="F9" t="str" cm="1">
        <f ca="1" t="array" ref="F9">INDEX({"Scheduled","Completed","Cancelled"},RANDBETWEEN(1,3))</f>
        <v>Scheduled</v>
      </c>
    </row>
    <row r="10" spans="1:6">
      <c r="A10" t="str">
        <f t="shared" si="0"/>
        <v>APT009</v>
      </c>
      <c r="B10" t="str">
        <f ca="1" t="shared" si="1"/>
        <v>C011</v>
      </c>
      <c r="C10" s="3">
        <f ca="1" t="shared" si="2"/>
        <v>46191</v>
      </c>
      <c r="D10" s="4">
        <f ca="1" t="shared" si="3"/>
        <v>0.6875</v>
      </c>
      <c r="E10" t="str" cm="1">
        <f ca="1" t="array" ref="E10">INDEX({"Sarah","James","Thabo","Lerato","Michael","Ayanda"},RANDBETWEEN(1,6))</f>
        <v>Sarah</v>
      </c>
      <c r="F10" t="str" cm="1">
        <f ca="1" t="array" ref="F10">INDEX({"Scheduled","Completed","Cancelled"},RANDBETWEEN(1,3))</f>
        <v>Cancelled</v>
      </c>
    </row>
    <row r="11" spans="1:6">
      <c r="A11" t="str">
        <f t="shared" si="0"/>
        <v>APT010</v>
      </c>
      <c r="B11" t="str">
        <f ca="1" t="shared" si="1"/>
        <v>C006</v>
      </c>
      <c r="C11" s="3">
        <f ca="1" t="shared" si="2"/>
        <v>46216</v>
      </c>
      <c r="D11" s="4">
        <f ca="1" t="shared" si="3"/>
        <v>0.447916666666667</v>
      </c>
      <c r="E11" t="str" cm="1">
        <f ca="1" t="array" ref="E11">INDEX({"Sarah","James","Thabo","Lerato","Michael","Ayanda"},RANDBETWEEN(1,6))</f>
        <v>Ayanda</v>
      </c>
      <c r="F11" t="str" cm="1">
        <f ca="1" t="array" ref="F11">INDEX({"Scheduled","Completed","Cancelled"},RANDBETWEEN(1,3))</f>
        <v>Scheduled</v>
      </c>
    </row>
    <row r="12" spans="1:6">
      <c r="A12" t="str">
        <f t="shared" si="0"/>
        <v>APT011</v>
      </c>
      <c r="B12" t="str">
        <f ca="1" t="shared" si="1"/>
        <v>C001</v>
      </c>
      <c r="C12" s="3">
        <f ca="1" t="shared" si="2"/>
        <v>46201</v>
      </c>
      <c r="D12" s="4">
        <f ca="1" t="shared" si="3"/>
        <v>0.395833333333333</v>
      </c>
      <c r="E12" t="str" cm="1">
        <f ca="1" t="array" ref="E12">INDEX({"Sarah","James","Thabo","Lerato","Michael","Ayanda"},RANDBETWEEN(1,6))</f>
        <v>Michael</v>
      </c>
      <c r="F12" t="str" cm="1">
        <f ca="1" t="array" ref="F12">INDEX({"Scheduled","Completed","Cancelled"},RANDBETWEEN(1,3))</f>
        <v>Cancelled</v>
      </c>
    </row>
    <row r="13" spans="1:6">
      <c r="A13" t="str">
        <f t="shared" si="0"/>
        <v>APT012</v>
      </c>
      <c r="B13" t="str">
        <f ca="1" t="shared" ref="B13:B26" si="4">"C"&amp;TEXT(RANDBETWEEN(1,30),"000")</f>
        <v>C022</v>
      </c>
      <c r="C13" s="3">
        <f ca="1" t="shared" ref="C13:C26" si="5">TODAY()+RANDBETWEEN(-30,60)</f>
        <v>46195</v>
      </c>
      <c r="D13" s="4">
        <f ca="1" t="shared" ref="D13:D26" si="6">TIME(RANDBETWEEN(8,16),CHOOSE(RANDBETWEEN(1,4),0,15,30,45),0)</f>
        <v>0.53125</v>
      </c>
      <c r="E13" t="str" cm="1">
        <f ca="1" t="array" ref="E13">INDEX({"Sarah","James","Thabo","Lerato","Michael","Ayanda"},RANDBETWEEN(1,6))</f>
        <v>Thabo</v>
      </c>
      <c r="F13" t="str" cm="1">
        <f ca="1" t="array" ref="F13">INDEX({"Scheduled","Completed","Cancelled"},RANDBETWEEN(1,3))</f>
        <v>Completed</v>
      </c>
    </row>
    <row r="14" spans="1:6">
      <c r="A14" t="str">
        <f t="shared" si="0"/>
        <v>APT013</v>
      </c>
      <c r="B14" t="str">
        <f ca="1" t="shared" si="4"/>
        <v>C003</v>
      </c>
      <c r="C14" s="3">
        <f ca="1" t="shared" si="5"/>
        <v>46188</v>
      </c>
      <c r="D14" s="4">
        <f ca="1" t="shared" si="6"/>
        <v>0.5625</v>
      </c>
      <c r="E14" t="str" cm="1">
        <f ca="1" t="array" ref="E14">INDEX({"Sarah","James","Thabo","Lerato","Michael","Ayanda"},RANDBETWEEN(1,6))</f>
        <v>Lerato</v>
      </c>
      <c r="F14" t="str" cm="1">
        <f ca="1" t="array" ref="F14">INDEX({"Scheduled","Completed","Cancelled"},RANDBETWEEN(1,3))</f>
        <v>Cancelled</v>
      </c>
    </row>
    <row r="15" spans="1:6">
      <c r="A15" t="str">
        <f t="shared" si="0"/>
        <v>APT014</v>
      </c>
      <c r="B15" t="str">
        <f ca="1" t="shared" si="4"/>
        <v>C018</v>
      </c>
      <c r="C15" s="3">
        <f ca="1" t="shared" si="5"/>
        <v>46211</v>
      </c>
      <c r="D15" s="4">
        <f ca="1" t="shared" si="6"/>
        <v>0.510416666666667</v>
      </c>
      <c r="E15" t="str" cm="1">
        <f ca="1" t="array" ref="E15">INDEX({"Sarah","James","Thabo","Lerato","Michael","Ayanda"},RANDBETWEEN(1,6))</f>
        <v>Ayanda</v>
      </c>
      <c r="F15" t="str" cm="1">
        <f ca="1" t="array" ref="F15">INDEX({"Scheduled","Completed","Cancelled"},RANDBETWEEN(1,3))</f>
        <v>Completed</v>
      </c>
    </row>
    <row r="16" spans="1:6">
      <c r="A16" t="str">
        <f t="shared" si="0"/>
        <v>APT015</v>
      </c>
      <c r="B16" t="str">
        <f ca="1" t="shared" si="4"/>
        <v>C022</v>
      </c>
      <c r="C16" s="3">
        <f ca="1" t="shared" si="5"/>
        <v>46220</v>
      </c>
      <c r="D16" s="4">
        <f ca="1" t="shared" si="6"/>
        <v>0.5625</v>
      </c>
      <c r="E16" t="str" cm="1">
        <f ca="1" t="array" ref="E16">INDEX({"Sarah","James","Thabo","Lerato","Michael","Ayanda"},RANDBETWEEN(1,6))</f>
        <v>Ayanda</v>
      </c>
      <c r="F16" t="str" cm="1">
        <f ca="1" t="array" ref="F16">INDEX({"Scheduled","Completed","Cancelled"},RANDBETWEEN(1,3))</f>
        <v>Completed</v>
      </c>
    </row>
    <row r="17" spans="1:6">
      <c r="A17" t="str">
        <f t="shared" si="0"/>
        <v>APT016</v>
      </c>
      <c r="B17" t="str">
        <f ca="1" t="shared" si="4"/>
        <v>C011</v>
      </c>
      <c r="C17" s="3">
        <f ca="1" t="shared" si="5"/>
        <v>46205</v>
      </c>
      <c r="D17" s="4">
        <f ca="1" t="shared" si="6"/>
        <v>0.604166666666667</v>
      </c>
      <c r="E17" t="str" cm="1">
        <f ca="1" t="array" ref="E17">INDEX({"Sarah","James","Thabo","Lerato","Michael","Ayanda"},RANDBETWEEN(1,6))</f>
        <v>Michael</v>
      </c>
      <c r="F17" t="str" cm="1">
        <f ca="1" t="array" ref="F17">INDEX({"Scheduled","Completed","Cancelled"},RANDBETWEEN(1,3))</f>
        <v>Completed</v>
      </c>
    </row>
    <row r="18" spans="1:6">
      <c r="A18" t="str">
        <f t="shared" si="0"/>
        <v>APT017</v>
      </c>
      <c r="B18" t="str">
        <f ca="1" t="shared" si="4"/>
        <v>C018</v>
      </c>
      <c r="C18" s="3">
        <f ca="1" t="shared" si="5"/>
        <v>46200</v>
      </c>
      <c r="D18" s="4">
        <f ca="1" t="shared" si="6"/>
        <v>0.666666666666667</v>
      </c>
      <c r="E18" t="str" cm="1">
        <f ca="1" t="array" ref="E18">INDEX({"Sarah","James","Thabo","Lerato","Michael","Ayanda"},RANDBETWEEN(1,6))</f>
        <v>Ayanda</v>
      </c>
      <c r="F18" t="str" cm="1">
        <f ca="1" t="array" ref="F18">INDEX({"Scheduled","Completed","Cancelled"},RANDBETWEEN(1,3))</f>
        <v>Completed</v>
      </c>
    </row>
    <row r="19" spans="1:6">
      <c r="A19" t="str">
        <f t="shared" si="0"/>
        <v>APT018</v>
      </c>
      <c r="B19" t="str">
        <f ca="1" t="shared" si="4"/>
        <v>C007</v>
      </c>
      <c r="C19" s="3">
        <f ca="1" t="shared" si="5"/>
        <v>46206</v>
      </c>
      <c r="D19" s="4">
        <f ca="1" t="shared" si="6"/>
        <v>0.645833333333333</v>
      </c>
      <c r="E19" t="str" cm="1">
        <f ca="1" t="array" ref="E19">INDEX({"Sarah","James","Thabo","Lerato","Michael","Ayanda"},RANDBETWEEN(1,6))</f>
        <v>Lerato</v>
      </c>
      <c r="F19" t="str" cm="1">
        <f ca="1" t="array" ref="F19">INDEX({"Scheduled","Completed","Cancelled"},RANDBETWEEN(1,3))</f>
        <v>Scheduled</v>
      </c>
    </row>
    <row r="20" spans="1:6">
      <c r="A20" t="str">
        <f t="shared" si="0"/>
        <v>APT019</v>
      </c>
      <c r="B20" t="str">
        <f ca="1" t="shared" si="4"/>
        <v>C010</v>
      </c>
      <c r="C20" s="3">
        <f ca="1" t="shared" si="5"/>
        <v>46236</v>
      </c>
      <c r="D20" s="4">
        <f ca="1" t="shared" si="6"/>
        <v>0.677083333333333</v>
      </c>
      <c r="E20" t="str" cm="1">
        <f ca="1" t="array" ref="E20">INDEX({"Sarah","James","Thabo","Lerato","Michael","Ayanda"},RANDBETWEEN(1,6))</f>
        <v>Michael</v>
      </c>
      <c r="F20" t="str" cm="1">
        <f ca="1" t="array" ref="F20">INDEX({"Scheduled","Completed","Cancelled"},RANDBETWEEN(1,3))</f>
        <v>Completed</v>
      </c>
    </row>
    <row r="21" spans="1:6">
      <c r="A21" t="str">
        <f t="shared" si="0"/>
        <v>APT020</v>
      </c>
      <c r="B21" t="str">
        <f ca="1" t="shared" si="4"/>
        <v>C003</v>
      </c>
      <c r="C21" s="3">
        <f ca="1" t="shared" si="5"/>
        <v>46205</v>
      </c>
      <c r="D21" s="4">
        <f ca="1" t="shared" si="6"/>
        <v>0.59375</v>
      </c>
      <c r="E21" t="str" cm="1">
        <f ca="1" t="array" ref="E21">INDEX({"Sarah","James","Thabo","Lerato","Michael","Ayanda"},RANDBETWEEN(1,6))</f>
        <v>Michael</v>
      </c>
      <c r="F21" t="str" cm="1">
        <f ca="1" t="array" ref="F21">INDEX({"Scheduled","Completed","Cancelled"},RANDBETWEEN(1,3))</f>
        <v>Cancelled</v>
      </c>
    </row>
    <row r="22" spans="1:6">
      <c r="A22" t="str">
        <f t="shared" si="0"/>
        <v>APT021</v>
      </c>
      <c r="B22" t="str">
        <f ca="1" t="shared" si="4"/>
        <v>C022</v>
      </c>
      <c r="C22" s="3">
        <f ca="1" t="shared" si="5"/>
        <v>46166</v>
      </c>
      <c r="D22" s="4">
        <f ca="1" t="shared" si="6"/>
        <v>0.333333333333333</v>
      </c>
      <c r="E22" t="str" cm="1">
        <f ca="1" t="array" ref="E22">INDEX({"Sarah","James","Thabo","Lerato","Michael","Ayanda"},RANDBETWEEN(1,6))</f>
        <v>Thabo</v>
      </c>
      <c r="F22" t="str" cm="1">
        <f ca="1" t="array" ref="F22">INDEX({"Scheduled","Completed","Cancelled"},RANDBETWEEN(1,3))</f>
        <v>Scheduled</v>
      </c>
    </row>
    <row r="23" spans="1:6">
      <c r="A23" t="str">
        <f t="shared" si="0"/>
        <v>APT022</v>
      </c>
      <c r="B23" t="str">
        <f ca="1" t="shared" si="4"/>
        <v>C027</v>
      </c>
      <c r="C23" s="3">
        <f ca="1" t="shared" si="5"/>
        <v>46172</v>
      </c>
      <c r="D23" s="4">
        <f ca="1" t="shared" si="6"/>
        <v>0.34375</v>
      </c>
      <c r="E23" t="str" cm="1">
        <f ca="1" t="array" ref="E23">INDEX({"Sarah","James","Thabo","Lerato","Michael","Ayanda"},RANDBETWEEN(1,6))</f>
        <v>Lerato</v>
      </c>
      <c r="F23" t="str" cm="1">
        <f ca="1" t="array" ref="F23">INDEX({"Scheduled","Completed","Cancelled"},RANDBETWEEN(1,3))</f>
        <v>Completed</v>
      </c>
    </row>
    <row r="24" spans="1:6">
      <c r="A24" t="str">
        <f t="shared" si="0"/>
        <v>APT023</v>
      </c>
      <c r="B24" t="str">
        <f ca="1" t="shared" si="4"/>
        <v>C018</v>
      </c>
      <c r="C24" s="3">
        <f ca="1" t="shared" si="5"/>
        <v>46186</v>
      </c>
      <c r="D24" s="4">
        <f ca="1" t="shared" si="6"/>
        <v>0.604166666666667</v>
      </c>
      <c r="E24" t="str" cm="1">
        <f ca="1" t="array" ref="E24">INDEX({"Sarah","James","Thabo","Lerato","Michael","Ayanda"},RANDBETWEEN(1,6))</f>
        <v>James</v>
      </c>
      <c r="F24" t="str" cm="1">
        <f ca="1" t="array" ref="F24">INDEX({"Scheduled","Completed","Cancelled"},RANDBETWEEN(1,3))</f>
        <v>Cancelled</v>
      </c>
    </row>
    <row r="25" spans="1:6">
      <c r="A25" t="str">
        <f t="shared" si="0"/>
        <v>APT024</v>
      </c>
      <c r="B25" t="str">
        <f ca="1" t="shared" si="4"/>
        <v>C025</v>
      </c>
      <c r="C25" s="3">
        <f ca="1" t="shared" si="5"/>
        <v>46225</v>
      </c>
      <c r="D25" s="4">
        <f ca="1" t="shared" si="6"/>
        <v>0.4375</v>
      </c>
      <c r="E25" t="str" cm="1">
        <f ca="1" t="array" ref="E25">INDEX({"Sarah","James","Thabo","Lerato","Michael","Ayanda"},RANDBETWEEN(1,6))</f>
        <v>Ayanda</v>
      </c>
      <c r="F25" t="str" cm="1">
        <f ca="1" t="array" ref="F25">INDEX({"Scheduled","Completed","Cancelled"},RANDBETWEEN(1,3))</f>
        <v>Scheduled</v>
      </c>
    </row>
    <row r="26" spans="1:6">
      <c r="A26" t="str">
        <f>"APT"&amp;TEXT(ROW(A25),"000")</f>
        <v>APT025</v>
      </c>
      <c r="B26" t="str">
        <f ca="1" t="shared" si="4"/>
        <v>C024</v>
      </c>
      <c r="C26" s="3">
        <f ca="1" t="shared" si="5"/>
        <v>46193</v>
      </c>
      <c r="D26" s="4">
        <f ca="1" t="shared" si="6"/>
        <v>0.614583333333333</v>
      </c>
      <c r="E26" t="str" cm="1">
        <f ca="1" t="array" ref="E26">INDEX({"Sarah","James","Thabo","Lerato","Michael","Ayanda"},RANDBETWEEN(1,6))</f>
        <v>Lerato</v>
      </c>
      <c r="F26" t="str" cm="1">
        <f ca="1" t="array" ref="F26">INDEX({"Scheduled","Completed","Cancelled"},RANDBETWEEN(1,3))</f>
        <v>Scheduled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5" sqref="H5"/>
    </sheetView>
  </sheetViews>
  <sheetFormatPr defaultColWidth="9.14285714285714" defaultRowHeight="15" outlineLevelCol="5"/>
  <cols>
    <col min="1" max="1" width="13" customWidth="1"/>
    <col min="2" max="2" width="16.8571428571429" customWidth="1"/>
    <col min="3" max="3" width="12.5714285714286" customWidth="1"/>
    <col min="4" max="4" width="34.8571428571429" customWidth="1"/>
    <col min="5" max="5" width="22.5714285714286" customWidth="1"/>
    <col min="6" max="6" width="12.1428571428571" customWidth="1"/>
  </cols>
  <sheetData>
    <row r="1" s="1" customFormat="1" spans="1:6">
      <c r="A1" s="2" t="s">
        <v>119</v>
      </c>
      <c r="B1" s="2" t="s">
        <v>120</v>
      </c>
      <c r="C1" s="2" t="s">
        <v>121</v>
      </c>
      <c r="D1" s="2" t="s">
        <v>3</v>
      </c>
      <c r="E1" s="2" t="s">
        <v>122</v>
      </c>
      <c r="F1" s="2" t="s">
        <v>7</v>
      </c>
    </row>
    <row r="2" spans="1:6">
      <c r="A2" t="str">
        <f>"EMP"&amp;TEXT(ROW(A1),"000")</f>
        <v>EMP001</v>
      </c>
      <c r="B2" t="str" cm="1">
        <f t="array" ref="B2">INDEX({"Sarah Smith","James Brown","Lerato Nkosi","Michael Adams","Ayanda Dube","David Jones","Thabo Mokoena","Stephan Holland"},ROWS($2:2))</f>
        <v>Sarah Smith</v>
      </c>
      <c r="C2" t="str" cm="1">
        <f ca="1" t="array" ref="C2">INDEX({"HR","Finance","Admin","Operations","Support"},RANDBETWEEN(1,5))</f>
        <v>Finance</v>
      </c>
      <c r="D2" t="str">
        <f>LOWER(SUBSTITUTE(B2," ",".")&amp;"@BrightPath.co.za")</f>
        <v>sarah.smith@brightpath.co.za</v>
      </c>
      <c r="E2" t="str">
        <f ca="1">RANDBETWEEN(0,25)&amp;" days"</f>
        <v>0 days</v>
      </c>
      <c r="F2" t="s">
        <v>10</v>
      </c>
    </row>
    <row r="3" spans="1:6">
      <c r="A3" t="str">
        <f t="shared" ref="A3:A9" si="0">"EMP"&amp;TEXT(ROW(A2),"000")</f>
        <v>EMP002</v>
      </c>
      <c r="B3" t="str" cm="1">
        <f t="array" ref="B3">INDEX({"Sarah Smith","James Brown","Lerato Nkosi","Michael Adams","Ayanda Dube","David Jones","Thabo Mokoena","Stephan Holland"},ROWS($2:3))</f>
        <v>James Brown</v>
      </c>
      <c r="C3" t="str" cm="1">
        <f ca="1" t="array" ref="C3">INDEX({"HR","Finance","Admin","Operations","Support"},RANDBETWEEN(1,5))</f>
        <v>Operations</v>
      </c>
      <c r="D3" t="str">
        <f t="shared" ref="D3:D9" si="1">LOWER(SUBSTITUTE(B3," ",".")&amp;"@BrightPath.co.za")</f>
        <v>james.brown@brightpath.co.za</v>
      </c>
      <c r="E3" t="str">
        <f ca="1" t="shared" ref="E3:E9" si="2">RANDBETWEEN(0,25)&amp;" days"</f>
        <v>11 days</v>
      </c>
      <c r="F3" t="s">
        <v>10</v>
      </c>
    </row>
    <row r="4" spans="1:6">
      <c r="A4" t="str">
        <f t="shared" si="0"/>
        <v>EMP003</v>
      </c>
      <c r="B4" t="str" cm="1">
        <f t="array" ref="B4">INDEX({"Sarah Smith","James Brown","Lerato Nkosi","Michael Adams","Ayanda Dube","David Jones","Thabo Mokoena","Stephan Holland"},ROWS($2:4))</f>
        <v>Lerato Nkosi</v>
      </c>
      <c r="C4" t="str" cm="1">
        <f ca="1" t="array" ref="C4">INDEX({"HR","Finance","Admin","Operations","Support"},RANDBETWEEN(1,5))</f>
        <v>Finance</v>
      </c>
      <c r="D4" t="str">
        <f t="shared" si="1"/>
        <v>lerato.nkosi@brightpath.co.za</v>
      </c>
      <c r="E4" t="str">
        <f ca="1" t="shared" si="2"/>
        <v>25 days</v>
      </c>
      <c r="F4" t="s">
        <v>10</v>
      </c>
    </row>
    <row r="5" spans="1:6">
      <c r="A5" t="str">
        <f t="shared" si="0"/>
        <v>EMP004</v>
      </c>
      <c r="B5" t="str" cm="1">
        <f t="array" ref="B5">INDEX({"Sarah Smith","James Brown","Lerato Nkosi","Michael Adams","Ayanda Dube","David Jones","Thabo Mokoena","Stephan Holland"},ROWS($2:5))</f>
        <v>Michael Adams</v>
      </c>
      <c r="C5" t="str" cm="1">
        <f ca="1" t="array" ref="C5">INDEX({"HR","Finance","Admin","Operations","Support"},RANDBETWEEN(1,5))</f>
        <v>Operations</v>
      </c>
      <c r="D5" t="str">
        <f t="shared" si="1"/>
        <v>michael.adams@brightpath.co.za</v>
      </c>
      <c r="E5" t="str">
        <f ca="1" t="shared" si="2"/>
        <v>8 days</v>
      </c>
      <c r="F5" t="s">
        <v>10</v>
      </c>
    </row>
    <row r="6" spans="1:6">
      <c r="A6" t="str">
        <f t="shared" si="0"/>
        <v>EMP005</v>
      </c>
      <c r="B6" t="str" cm="1">
        <f t="array" ref="B6">INDEX({"Sarah Smith","James Brown","Lerato Nkosi","Michael Adams","Ayanda Dube","David Jones","Thabo Mokoena","Stephan Holland"},ROWS($2:6))</f>
        <v>Ayanda Dube</v>
      </c>
      <c r="C6" t="str" cm="1">
        <f ca="1" t="array" ref="C6">INDEX({"HR","Finance","Admin","Operations","Support"},RANDBETWEEN(1,5))</f>
        <v>Admin</v>
      </c>
      <c r="D6" t="str">
        <f t="shared" si="1"/>
        <v>ayanda.dube@brightpath.co.za</v>
      </c>
      <c r="E6" t="str">
        <f ca="1" t="shared" si="2"/>
        <v>7 days</v>
      </c>
      <c r="F6" t="s">
        <v>10</v>
      </c>
    </row>
    <row r="7" spans="1:6">
      <c r="A7" t="str">
        <f t="shared" si="0"/>
        <v>EMP006</v>
      </c>
      <c r="B7" t="str" cm="1">
        <f t="array" ref="B7">INDEX({"Sarah Smith","James Brown","Lerato Nkosi","Michael Adams","Ayanda Dube","David Jones","Thabo Mokoena","Stephan Holland"},ROWS($2:7))</f>
        <v>David Jones</v>
      </c>
      <c r="C7" t="str" cm="1">
        <f ca="1" t="array" ref="C7">INDEX({"HR","Finance","Admin","Operations","Support"},RANDBETWEEN(1,5))</f>
        <v>Operations</v>
      </c>
      <c r="D7" t="str">
        <f t="shared" si="1"/>
        <v>david.jones@brightpath.co.za</v>
      </c>
      <c r="E7" t="str">
        <f ca="1" t="shared" si="2"/>
        <v>25 days</v>
      </c>
      <c r="F7" t="s">
        <v>123</v>
      </c>
    </row>
    <row r="8" spans="1:6">
      <c r="A8" t="str">
        <f t="shared" si="0"/>
        <v>EMP007</v>
      </c>
      <c r="B8" t="str" cm="1">
        <f t="array" ref="B8">INDEX({"Sarah Smith","James Brown","Lerato Nkosi","Michael Adams","Ayanda Dube","David Jones","Thabo Mokoena","Stephan Holland"},ROWS($2:8))</f>
        <v>Thabo Mokoena</v>
      </c>
      <c r="C8" t="str" cm="1">
        <f ca="1" t="array" ref="C8">INDEX({"HR","Finance","Admin","Operations","Support"},RANDBETWEEN(1,5))</f>
        <v>HR</v>
      </c>
      <c r="D8" t="str">
        <f t="shared" si="1"/>
        <v>thabo.mokoena@brightpath.co.za</v>
      </c>
      <c r="E8" t="str">
        <f ca="1" t="shared" si="2"/>
        <v>21 days</v>
      </c>
      <c r="F8" t="s">
        <v>10</v>
      </c>
    </row>
    <row r="9" spans="1:6">
      <c r="A9" t="str">
        <f t="shared" si="0"/>
        <v>EMP008</v>
      </c>
      <c r="B9" t="str" cm="1">
        <f t="array" ref="B9">INDEX({"Sarah Smith","James Brown","Lerato Nkosi","Michael Adams","Ayanda Dube","David Jones","Thabo Mokoena","Stephan Holland"},ROWS($2:9))</f>
        <v>Stephan Holland</v>
      </c>
      <c r="C9" t="str" cm="1">
        <f ca="1" t="array" ref="C9">INDEX({"HR","Finance","Admin","Operations","Support"},RANDBETWEEN(1,5))</f>
        <v>Admin</v>
      </c>
      <c r="D9" t="str">
        <f t="shared" si="1"/>
        <v>stephan.holland@brightpath.co.za</v>
      </c>
      <c r="E9" t="str">
        <f ca="1" t="shared" si="2"/>
        <v>14 days</v>
      </c>
      <c r="F9" t="s">
        <v>124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4" sqref="D14"/>
    </sheetView>
  </sheetViews>
  <sheetFormatPr defaultColWidth="9.14285714285714" defaultRowHeight="15" outlineLevelCol="4"/>
  <cols>
    <col min="2" max="2" width="22.8571428571429" customWidth="1"/>
    <col min="3" max="3" width="16.5714285714286" customWidth="1"/>
    <col min="4" max="4" width="32" customWidth="1"/>
    <col min="5" max="5" width="11.4285714285714"/>
  </cols>
  <sheetData>
    <row r="1" s="1" customFormat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116</v>
      </c>
    </row>
    <row r="2" spans="1:5">
      <c r="A2" t="str">
        <f>"ERR"&amp;TEXT(ROW(A1),"000")</f>
        <v>ERR001</v>
      </c>
      <c r="B2" t="str" cm="1">
        <f ca="1" t="array" ref="B2">INDEX({"Incorrect Date","Invalid Phone Number","Incomplete Record"},RANDBETWEEN(1,3))</f>
        <v>Incomplete Record</v>
      </c>
      <c r="C2" t="str">
        <f ca="1">"C"&amp;TEXT(RANDBETWEEN(1,30),"000")</f>
        <v>C020</v>
      </c>
      <c r="D2" t="str">
        <f ca="1">IF(B2="Incomplete Record","Completed Missing Information",IF(B2="Incorrect Date","Corrected Date Format",IF(B2="Invalid Phone Number","Updated Phone Number"," ")))</f>
        <v>Completed Missing Information</v>
      </c>
      <c r="E2" s="3">
        <f ca="1">TODAY()-RANDBETWEEN(1,60)</f>
        <v>46167</v>
      </c>
    </row>
    <row r="3" spans="1:5">
      <c r="A3" t="str">
        <f t="shared" ref="A3:A8" si="0">"ERR"&amp;TEXT(ROW(A2),"000")</f>
        <v>ERR002</v>
      </c>
      <c r="B3" t="str" cm="1">
        <f ca="1" t="array" ref="B3">INDEX({"Incorrect Date","Invalid Phone Number","Incomplete Record"},RANDBETWEEN(1,3))</f>
        <v>Incomplete Record</v>
      </c>
      <c r="C3" t="str">
        <f ca="1" t="shared" ref="C3:C11" si="1">"C"&amp;TEXT(RANDBETWEEN(1,30),"000")</f>
        <v>C020</v>
      </c>
      <c r="D3" t="str">
        <f ca="1" t="shared" ref="D3:D9" si="2">IF(B3="Incomplete Record","Completed Missing Information",IF(B3="Incorrect Date","Corrected Date Format",IF(B3="Invalid Phone Number","Updated Phone Number"," ")))</f>
        <v>Completed Missing Information</v>
      </c>
      <c r="E3" s="3">
        <f ca="1" t="shared" ref="E3:E11" si="3">TODAY()-RANDBETWEEN(1,60)</f>
        <v>46153</v>
      </c>
    </row>
    <row r="4" spans="1:5">
      <c r="A4" t="str">
        <f t="shared" si="0"/>
        <v>ERR003</v>
      </c>
      <c r="B4" t="str" cm="1">
        <f ca="1" t="array" ref="B4">INDEX({"Incorrect Date","Invalid Phone Number","Incomplete Record"},RANDBETWEEN(1,3))</f>
        <v>Incomplete Record</v>
      </c>
      <c r="C4" t="str">
        <f ca="1" t="shared" si="1"/>
        <v>C020</v>
      </c>
      <c r="D4" t="str">
        <f ca="1" t="shared" si="2"/>
        <v>Completed Missing Information</v>
      </c>
      <c r="E4" s="3">
        <f ca="1" t="shared" si="3"/>
        <v>46163</v>
      </c>
    </row>
    <row r="5" spans="1:5">
      <c r="A5" t="str">
        <f t="shared" si="0"/>
        <v>ERR004</v>
      </c>
      <c r="B5" t="str" cm="1">
        <f ca="1" t="array" ref="B5">INDEX({"Incorrect Date","Invalid Phone Number","Incomplete Record"},RANDBETWEEN(1,3))</f>
        <v>Incorrect Date</v>
      </c>
      <c r="C5" t="str">
        <f ca="1" t="shared" si="1"/>
        <v>C011</v>
      </c>
      <c r="D5" t="str">
        <f ca="1" t="shared" si="2"/>
        <v>Corrected Date Format</v>
      </c>
      <c r="E5" s="3">
        <f ca="1" t="shared" si="3"/>
        <v>46156</v>
      </c>
    </row>
    <row r="6" spans="1:5">
      <c r="A6" t="str">
        <f t="shared" si="0"/>
        <v>ERR005</v>
      </c>
      <c r="B6" t="str" cm="1">
        <f ca="1" t="array" ref="B6">INDEX({"Incorrect Date","Invalid Phone Number","Incomplete Record"},RANDBETWEEN(1,3))</f>
        <v>Invalid Phone Number</v>
      </c>
      <c r="C6" t="str">
        <f ca="1" t="shared" si="1"/>
        <v>C024</v>
      </c>
      <c r="D6" t="str">
        <f ca="1" t="shared" si="2"/>
        <v>Updated Phone Number</v>
      </c>
      <c r="E6" s="3">
        <f ca="1" t="shared" si="3"/>
        <v>46139</v>
      </c>
    </row>
    <row r="7" spans="1:5">
      <c r="A7" t="str">
        <f t="shared" si="0"/>
        <v>ERR006</v>
      </c>
      <c r="B7" t="str" cm="1">
        <f ca="1" t="array" ref="B7">INDEX({"Incorrect Date","Invalid Phone Number","Incomplete Record"},RANDBETWEEN(1,3))</f>
        <v>Incorrect Date</v>
      </c>
      <c r="C7" t="str">
        <f ca="1" t="shared" si="1"/>
        <v>C027</v>
      </c>
      <c r="D7" t="str">
        <f ca="1" t="shared" si="2"/>
        <v>Corrected Date Format</v>
      </c>
      <c r="E7" s="3">
        <f ca="1" t="shared" si="3"/>
        <v>46124</v>
      </c>
    </row>
    <row r="8" spans="1:5">
      <c r="A8" t="str">
        <f t="shared" si="0"/>
        <v>ERR007</v>
      </c>
      <c r="B8" t="str" cm="1">
        <f ca="1" t="array" ref="B8">INDEX({"Incorrect Date","Invalid Phone Number","Incomplete Record"},RANDBETWEEN(1,3))</f>
        <v>Incorrect Date</v>
      </c>
      <c r="C8" t="str">
        <f ca="1" t="shared" si="1"/>
        <v>C019</v>
      </c>
      <c r="D8" t="str">
        <f ca="1" t="shared" si="2"/>
        <v>Corrected Date Format</v>
      </c>
      <c r="E8" s="3">
        <f ca="1" t="shared" si="3"/>
        <v>46141</v>
      </c>
    </row>
    <row r="9" spans="1:5">
      <c r="A9" t="str">
        <f>"ERR"&amp;TEXT(ROW(A8),"000")</f>
        <v>ERR008</v>
      </c>
      <c r="B9" t="str" cm="1">
        <f ca="1" t="array" ref="B9">INDEX({"Incorrect Date","Invalid Phone Number","Incomplete Record"},RANDBETWEEN(1,3))</f>
        <v>Incorrect Date</v>
      </c>
      <c r="C9" t="str">
        <f ca="1" t="shared" si="1"/>
        <v>C007</v>
      </c>
      <c r="D9" t="str">
        <f ca="1" t="shared" si="2"/>
        <v>Corrected Date Format</v>
      </c>
      <c r="E9" s="3">
        <f ca="1" t="shared" si="3"/>
        <v>46165</v>
      </c>
    </row>
    <row r="10" spans="1:5">
      <c r="A10" t="str">
        <f>"ERR"&amp;TEXT(ROW(A9),"000")</f>
        <v>ERR009</v>
      </c>
      <c r="B10" t="str" cm="1">
        <f ca="1" t="array" ref="B10">INDEX({"Incorrect Date","Invalid Phone Number","Incomplete Record"},RANDBETWEEN(1,3))</f>
        <v>Incorrect Date</v>
      </c>
      <c r="C10" t="str">
        <f ca="1" t="shared" si="1"/>
        <v>C003</v>
      </c>
      <c r="D10" t="str">
        <f ca="1">IF(B10="Incomplete Record","Completed Missing Information",IF(B10="Incorrect Date","Corrected Date Format",IF(B10="Invalid Phone Number","Updated Phone Number"," ")))</f>
        <v>Corrected Date Format</v>
      </c>
      <c r="E10" s="3">
        <f ca="1" t="shared" si="3"/>
        <v>46156</v>
      </c>
    </row>
    <row r="11" spans="1:5">
      <c r="A11" t="str">
        <f>"ERR"&amp;TEXT(ROW(A10),"000")</f>
        <v>ERR010</v>
      </c>
      <c r="B11" t="str" cm="1">
        <f ca="1" t="array" ref="B11">INDEX({"Incorrect Date","Invalid Phone Number","Incomplete Record"},RANDBETWEEN(1,3))</f>
        <v>Incomplete Record</v>
      </c>
      <c r="C11" t="str">
        <f ca="1" t="shared" si="1"/>
        <v>C023</v>
      </c>
      <c r="D11" t="str">
        <f ca="1">IF(B11="Incomplete Record","Completed Missing Information",IF(B11="Incorrect Date","Corrected Date Format",IF(B11="Invalid Phone Number","Updated Phone Number"," ")))</f>
        <v>Completed Missing Information</v>
      </c>
      <c r="E11" s="3">
        <f ca="1" t="shared" si="3"/>
        <v>46163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2" sqref="E2:E9"/>
    </sheetView>
  </sheetViews>
  <sheetFormatPr defaultColWidth="9.14285714285714" defaultRowHeight="15" outlineLevelCol="4"/>
  <cols>
    <col min="1" max="1" width="10.5714285714286" customWidth="1"/>
    <col min="2" max="2" width="14.7142857142857" customWidth="1"/>
    <col min="4" max="4" width="13.1428571428571" customWidth="1"/>
    <col min="5" max="5" width="12.4285714285714" customWidth="1"/>
  </cols>
  <sheetData>
    <row r="1" s="1" customFormat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  <row r="2" spans="1:5">
      <c r="A2" t="str">
        <f>"ARC"&amp;TEXT(ROW(A1),"000")</f>
        <v>ARC001</v>
      </c>
      <c r="B2" t="str" cm="1">
        <f ca="1" t="array" ref="B2">INDEX({"Invoice","Appointment","Client Record","Employee File"},RANDBETWEEN(1,4))</f>
        <v>Employee File</v>
      </c>
      <c r="C2" t="str">
        <f ca="1">IF(B2="Appointment","APT",IF(B2="Employee File","EMP",IF(B2="Client Record","C",IF(B2="Invoice","INV"," "))))</f>
        <v>EMP</v>
      </c>
      <c r="D2" s="3">
        <f ca="1">TODAY()-RANDBETWEEN(30,365)</f>
        <v>45882</v>
      </c>
      <c r="E2" t="str" cm="1">
        <f ca="1" t="array" ref="E2">INDEX({"Completed","Inactive","Expired","Closed Case","Old Record"},RANDBETWEEN(1,5))</f>
        <v>Completed</v>
      </c>
    </row>
    <row r="3" spans="1:5">
      <c r="A3" t="str">
        <f t="shared" ref="A3:A9" si="0">"ARC"&amp;TEXT(ROW(A2),"000")</f>
        <v>ARC002</v>
      </c>
      <c r="B3" t="str" cm="1">
        <f ca="1" t="array" ref="B3">INDEX({"Invoice","Appointment","Client Record","Employee File"},RANDBETWEEN(1,4))</f>
        <v>Employee File</v>
      </c>
      <c r="C3" t="str">
        <f ca="1" t="shared" ref="C3:C9" si="1">IF(B3="Appointment","APT",IF(B3="Employee File","EMP",IF(B3="Client Record","C",IF(B3="Invoice","INV"," "))))</f>
        <v>EMP</v>
      </c>
      <c r="D3" s="3">
        <f ca="1" t="shared" ref="D3:D9" si="2">TODAY()-RANDBETWEEN(30,365)</f>
        <v>45951</v>
      </c>
      <c r="E3" t="str" cm="1">
        <f ca="1" t="array" ref="E3">INDEX({"Completed","Inactive","Expired","Closed Case","Old Record"},RANDBETWEEN(1,5))</f>
        <v>Old Record</v>
      </c>
    </row>
    <row r="4" spans="1:5">
      <c r="A4" t="str">
        <f t="shared" si="0"/>
        <v>ARC003</v>
      </c>
      <c r="B4" t="str" cm="1">
        <f ca="1" t="array" ref="B4">INDEX({"Invoice","Appointment","Client Record","Employee File"},RANDBETWEEN(1,4))</f>
        <v>Employee File</v>
      </c>
      <c r="C4" t="str">
        <f ca="1" t="shared" si="1"/>
        <v>EMP</v>
      </c>
      <c r="D4" s="3">
        <f ca="1" t="shared" si="2"/>
        <v>46035</v>
      </c>
      <c r="E4" t="str" cm="1">
        <f ca="1" t="array" ref="E4">INDEX({"Completed","Inactive","Expired","Closed Case","Old Record"},RANDBETWEEN(1,5))</f>
        <v>Old Record</v>
      </c>
    </row>
    <row r="5" spans="1:5">
      <c r="A5" t="str">
        <f t="shared" si="0"/>
        <v>ARC004</v>
      </c>
      <c r="B5" t="str" cm="1">
        <f ca="1" t="array" ref="B5">INDEX({"Invoice","Appointment","Client Record","Employee File"},RANDBETWEEN(1,4))</f>
        <v>Invoice</v>
      </c>
      <c r="C5" t="str">
        <f ca="1" t="shared" si="1"/>
        <v>INV</v>
      </c>
      <c r="D5" s="3">
        <f ca="1" t="shared" si="2"/>
        <v>45986</v>
      </c>
      <c r="E5" t="str" cm="1">
        <f ca="1" t="array" ref="E5">INDEX({"Completed","Inactive","Expired","Closed Case","Old Record"},RANDBETWEEN(1,5))</f>
        <v>Old Record</v>
      </c>
    </row>
    <row r="6" spans="1:5">
      <c r="A6" t="str">
        <f t="shared" si="0"/>
        <v>ARC005</v>
      </c>
      <c r="B6" t="str" cm="1">
        <f ca="1" t="array" ref="B6">INDEX({"Invoice","Appointment","Client Record","Employee File"},RANDBETWEEN(1,4))</f>
        <v>Employee File</v>
      </c>
      <c r="C6" t="str">
        <f ca="1" t="shared" si="1"/>
        <v>EMP</v>
      </c>
      <c r="D6" s="3">
        <f ca="1" t="shared" si="2"/>
        <v>46044</v>
      </c>
      <c r="E6" t="str" cm="1">
        <f ca="1" t="array" ref="E6">INDEX({"Completed","Inactive","Expired","Closed Case","Old Record"},RANDBETWEEN(1,5))</f>
        <v>Inactive</v>
      </c>
    </row>
    <row r="7" spans="1:5">
      <c r="A7" t="str">
        <f t="shared" si="0"/>
        <v>ARC006</v>
      </c>
      <c r="B7" t="str" cm="1">
        <f ca="1" t="array" ref="B7">INDEX({"Invoice","Appointment","Client Record","Employee File"},RANDBETWEEN(1,4))</f>
        <v>Invoice</v>
      </c>
      <c r="C7" t="str">
        <f ca="1" t="shared" si="1"/>
        <v>INV</v>
      </c>
      <c r="D7" s="3">
        <f ca="1" t="shared" si="2"/>
        <v>46057</v>
      </c>
      <c r="E7" t="str" cm="1">
        <f ca="1" t="array" ref="E7">INDEX({"Completed","Inactive","Expired","Closed Case","Old Record"},RANDBETWEEN(1,5))</f>
        <v>Completed</v>
      </c>
    </row>
    <row r="8" spans="1:5">
      <c r="A8" t="str">
        <f t="shared" si="0"/>
        <v>ARC007</v>
      </c>
      <c r="B8" t="str" cm="1">
        <f ca="1" t="array" ref="B8">INDEX({"Invoice","Appointment","Client Record","Employee File"},RANDBETWEEN(1,4))</f>
        <v>Client Record</v>
      </c>
      <c r="C8" t="str">
        <f ca="1" t="shared" si="1"/>
        <v>C</v>
      </c>
      <c r="D8" s="3">
        <f ca="1" t="shared" si="2"/>
        <v>46082</v>
      </c>
      <c r="E8" t="str" cm="1">
        <f ca="1" t="array" ref="E8">INDEX({"Completed","Inactive","Expired","Closed Case","Old Record"},RANDBETWEEN(1,5))</f>
        <v>Closed Case</v>
      </c>
    </row>
    <row r="9" spans="1:5">
      <c r="A9" t="str">
        <f t="shared" si="0"/>
        <v>ARC008</v>
      </c>
      <c r="B9" t="str" cm="1">
        <f ca="1" t="array" ref="B9">INDEX({"Invoice","Appointment","Client Record","Employee File"},RANDBETWEEN(1,4))</f>
        <v>Appointment</v>
      </c>
      <c r="C9" t="str">
        <f ca="1" t="shared" si="1"/>
        <v>APT</v>
      </c>
      <c r="D9" s="3">
        <f ca="1" t="shared" si="2"/>
        <v>45929</v>
      </c>
      <c r="E9" t="str" cm="1">
        <f ca="1" t="array" ref="E9">INDEX({"Completed","Inactive","Expired","Closed Case","Old Record"},RANDBETWEEN(1,5))</f>
        <v>Closed Case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Clients</vt:lpstr>
      <vt:lpstr>Invoices</vt:lpstr>
      <vt:lpstr>Appointments</vt:lpstr>
      <vt:lpstr>Employees</vt:lpstr>
      <vt:lpstr>Error_Log</vt:lpstr>
      <vt:lpstr>Archive_Log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WPS_1751823180</cp:lastModifiedBy>
  <dcterms:created xsi:type="dcterms:W3CDTF">2026-06-08T12:52:00Z</dcterms:created>
  <dcterms:modified xsi:type="dcterms:W3CDTF">2026-06-08T18:53:52Z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E65D11DCBC3C48F995E1EFDBCCD5EC44_13</vt:lpwstr>
  </property>
  <property fmtid="{D5CDD505-2E9C-101B-9397-08002B2CF9AE}" pid="3" name="KSOProductBuildVer">
    <vt:lpwstr>2057-12.2.0.23202</vt:lpwstr>
  </property>
</Properties>
</file>